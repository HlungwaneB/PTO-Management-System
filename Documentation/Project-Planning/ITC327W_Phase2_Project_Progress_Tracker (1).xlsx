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firstSheet="3" activeTab="3"/>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<sst xmlns="http://schemas.openxmlformats.org/spreadsheetml/2006/main" count="1052" uniqueCount="272">
  <si>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</si>
  <si>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</si>
  <si>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</si>
  <si>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</si>
  <si>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</si>
  <si>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</si>
  <si>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</si>
  <si>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</si>
  <si>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</si>
  <si>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</si>
  <si>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</si>
  <si>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</si>
  <si>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</si>
  <si>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</si>
  <si>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</si>
  <si>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</si>
  <si>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</si>
  <si>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</si>
  <si>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</si>
  <si>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</si>
  <si>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</si>
  <si>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</si>
  <si>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</si>
  <si>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</si>
  <si>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</si>
  <si>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</si>
  <si>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</si>
  <si>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</si>
  <si>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</si>
  <si>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</si>
  <si>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</si>
  <si>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Group D</t>
  </si>
  <si>
    <t>Phase 2 Progress Summary</t>
  </si>
  <si>
    <t>Project Title</t>
  </si>
  <si>
    <t>Permission To Occupy (PTO) Management System</t>
  </si>
  <si>
    <t>Total tracked items</t>
  </si>
  <si>
    <t>Stakeholder / Organisation</t>
  </si>
  <si>
    <t>Mangaung Metropolitan Municipality Organisation</t>
  </si>
  <si>
    <t>Completed</t>
  </si>
  <si>
    <t>Group Leader</t>
  </si>
  <si>
    <t>Benny Hlungwane</t>
  </si>
  <si>
    <t>In Progress</t>
  </si>
  <si>
    <t>Number of Group Members</t>
  </si>
  <si>
    <t>Blocked</t>
  </si>
  <si>
    <t>GitHub Repository Link</t>
  </si>
  <si>
    <t xml:space="preserve">https://github.com/HlungwaneB/PTO-Management-System.git </t>
  </si>
  <si>
    <t>Average completion</t>
  </si>
  <si>
    <t>Reporting Period</t>
  </si>
  <si>
    <t>13/10/2026</t>
  </si>
  <si>
    <t>Overall Phase Status</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</si>
  <si>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</si>
  <si>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</si>
  <si>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</si>
  <si>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</si>
  <si>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</si>
  <si>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</si>
  <si>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</si>
  <si>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</si>
  <si>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</si>
  <si>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</si>
  <si>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</si>
  <si>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</si>
  <si>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</si>
  <si>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</si>
  <si>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</si>
  <si>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</si>
  <si>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Benny &amp; Bontle</t>
  </si>
  <si>
    <t>23/09/2026</t>
  </si>
  <si>
    <t>24/09/2026</t>
  </si>
  <si>
    <t>https://drive.google.com/file/d/1WBh-Hiv2V74NSPv8v9fl7C-p25Q1AU0S/view?usp=sharing</t>
  </si>
  <si>
    <t>Keep Supabase represented as backend, database, storage and authentication</t>
  </si>
  <si>
    <t>P2-02</t>
  </si>
  <si>
    <t>Use Case Diagram</t>
  </si>
  <si>
    <t>Actors, use cases, system boundary and appropriate UML relationships</t>
  </si>
  <si>
    <t>Unarine, Bokamoso&amp; Asive</t>
  </si>
  <si>
    <t>25/09/2026</t>
  </si>
  <si>
    <t>https://drive.google.com/file/d/13mRYru-zK5hlS8O_3QRGihbv6UpAHD_3/view?usp=sharing</t>
  </si>
  <si>
    <t>Check actor-to-use-case relationships against the updated requirements.</t>
  </si>
  <si>
    <t>P2-03</t>
  </si>
  <si>
    <t>Sequence Diagram 1</t>
  </si>
  <si>
    <t>Important Flutter process</t>
  </si>
  <si>
    <t>26/09/2026</t>
  </si>
  <si>
    <t>https://drive.google.com/file/d/1RCdWsGNttKu3tlA8mCnbEmuzx2rV7G06/view?usp=sharing</t>
  </si>
  <si>
    <t>Administrator is not treated as a mobile-app user.</t>
  </si>
  <si>
    <t>P2-04</t>
  </si>
  <si>
    <t>Sequence Diagram 2</t>
  </si>
  <si>
    <t>Important ASP.NET process</t>
  </si>
  <si>
    <t>27/09/2026</t>
  </si>
  <si>
    <t>https://drive.google.com/file/d/1zymVeBIBddz3-NPUaYL9fXgwnM-0U4Tq/view?usp=sharing</t>
  </si>
  <si>
    <t>All users are represented on the web side</t>
  </si>
  <si>
    <t>P2-05</t>
  </si>
  <si>
    <t>ERD</t>
  </si>
  <si>
    <t>Entities, attributes, PKs, FKs, relationships and cardinality</t>
  </si>
  <si>
    <t>Bontle&amp; Msawakhe</t>
  </si>
  <si>
    <t xml:space="preserve">https://tinyurl.com/48anbe67
</t>
  </si>
  <si>
    <t>Confirm ERD remains aligned with the final requirements.</t>
  </si>
  <si>
    <t>P2-06</t>
  </si>
  <si>
    <t>Flutter Interface Designs</t>
  </si>
  <si>
    <t>Main mobile screens and navigation</t>
  </si>
  <si>
    <t>Benny&amp; Msawakhe</t>
  </si>
  <si>
    <t>30/09/2026</t>
  </si>
  <si>
    <t>https://www.figma.com/design/hF3g70wiKh3NJvoP6Dmpen/Untitled?node-id=0-1&amp;p=f&amp;t=jQzNewh1hYUo0MM9-0</t>
  </si>
  <si>
    <t>Ensure navigation reflects the approved mobile workflow.</t>
  </si>
  <si>
    <t>P2-07</t>
  </si>
  <si>
    <t>ASP.NET Interface Designs</t>
  </si>
  <si>
    <t>Main web pages and navigation</t>
  </si>
  <si>
    <t>Benny &amp; Msawakhe</t>
  </si>
  <si>
    <t>Ensure navigation the workflow of every user is  represented</t>
  </si>
  <si>
    <t>P2-08</t>
  </si>
  <si>
    <t>Design Alignment</t>
  </si>
  <si>
    <t>Requirements linked across UML, ERD and interfaces</t>
  </si>
  <si>
    <t>Maintain traceability during development</t>
  </si>
  <si>
    <t>P2-09</t>
  </si>
  <si>
    <t>Updated SRS</t>
  </si>
  <si>
    <t>Phase 2 architecture and design section inserted in existing SRS</t>
  </si>
  <si>
    <t>Unarine&amp;Bokamoso</t>
  </si>
  <si>
    <t>Add the required appendices to the updated SRS</t>
  </si>
  <si>
    <t>P2-10</t>
  </si>
  <si>
    <t>Microsoft Project</t>
  </si>
  <si>
    <t>Schedule updated to reflect design progress and upcoming development</t>
  </si>
  <si>
    <t>https://drive.google.com/file/d/1Uo5sqDHVdWggDIMcEA_ooj2hw8hdq9Bg/view?usp=sharing</t>
  </si>
  <si>
    <t>Update actual progress and upcoming Phase 3 development tasks.</t>
  </si>
  <si>
    <t>P2-11</t>
  </si>
  <si>
    <t>GitHub</t>
  </si>
  <si>
    <t>Current design documentation and repository organisation</t>
  </si>
  <si>
    <t>Benny</t>
  </si>
  <si>
    <t>Continue committing current design and development evidence.</t>
  </si>
  <si>
    <t>P2-12</t>
  </si>
  <si>
    <t>Phase 2 Presentation</t>
  </si>
  <si>
    <t>Presentation and defence preparation</t>
  </si>
  <si>
    <t>Project Group</t>
  </si>
  <si>
    <t>Finalise evidence, explanations and speaking roles before submission</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</si>
  <si>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</si>
  <si>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</si>
  <si>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</si>
  <si>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</si>
  <si>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</si>
  <si>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</si>
  <si>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</si>
  <si>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</si>
  <si>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</si>
  <si>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</si>
  <si>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</si>
  <si>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</si>
  <si>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GitHub repository and documentation</t>
  </si>
  <si>
    <t>repository organisation</t>
  </si>
  <si>
    <t>Record the repository, README, documentation structure and access checks personally completed.</t>
  </si>
  <si>
    <t>3 hrs</t>
  </si>
  <si>
    <t>Yes</t>
  </si>
  <si>
    <t>Verify the repository contains the README and documentation folder and that the group has access.</t>
  </si>
  <si>
    <t>Asive Mnyamanzi</t>
  </si>
  <si>
    <t>Project tracking and coordination</t>
  </si>
  <si>
    <t>Track The project progress</t>
  </si>
  <si>
    <t>Record the task tracking, member follow-up and evidence coordination personally completed.</t>
  </si>
  <si>
    <t>2 hrs</t>
  </si>
  <si>
    <t>Check that the tracker reflects actual progress. Record outstanding tasks, follow-ups and the evidence used to verify progress.</t>
  </si>
  <si>
    <t>Bontle Mothudi</t>
  </si>
  <si>
    <t>System architecture</t>
  </si>
  <si>
    <t>System Architecture Design</t>
  </si>
  <si>
    <t>Designed the overall system structure using Flutter, ASP.NET and Supabase.</t>
  </si>
  <si>
    <t>4 hrs</t>
  </si>
  <si>
    <t>Review the system architecture to ensure Flutter and ASP.NET are correctly integrated with Supabase as the backend.</t>
  </si>
  <si>
    <t>Bokamoso Luvhengo</t>
  </si>
  <si>
    <t>Use Case diagram</t>
  </si>
  <si>
    <t>Reviewing and refining diagram</t>
  </si>
  <si>
    <t>Reviewed actor relationships and checked alignment with requirements</t>
  </si>
  <si>
    <t xml:space="preserve">Confirm the diagram is readable, uses consistent UML notation and reflects the approved requirements.  </t>
  </si>
  <si>
    <t>Unarine Hangwani</t>
  </si>
  <si>
    <t>Sequence diagrams</t>
  </si>
  <si>
    <t>Review the and refining sequence diagrams</t>
  </si>
  <si>
    <t>reviewed the sequences diagram and Supabase interactions.</t>
  </si>
  <si>
    <t>https://drive.google.com/file/d/1tZK_eGJNWONjl7ZVAQ2BYRstlMcYC516/view?usp=sharing</t>
  </si>
  <si>
    <t>Review the two sequence diagrams for consistency and verify Supabase is represented as the backend for authentication, database and storage. Record any corrections.</t>
  </si>
  <si>
    <t>Msawakhe Mlambo</t>
  </si>
  <si>
    <t>Flutter interfaces</t>
  </si>
  <si>
    <t>Design mobile app</t>
  </si>
  <si>
    <t>Designed the main mobile application screens.</t>
  </si>
  <si>
    <t>6 hrs</t>
  </si>
  <si>
    <t>https://tinyurl.com/4ntknas4</t>
  </si>
  <si>
    <t>Review the mobile screens to ensure they are user-friendly, easy to navigate and consistent with the PTO Management System requirements. Check that the screen layouts, input fields, buttons and navigation support the intended Beneficiary tasks.</t>
  </si>
  <si>
    <t>No</t>
  </si>
  <si>
    <t>Not Started</t>
  </si>
  <si>
    <t>Phase 2 Original Design Source Links / Files</t>
  </si>
  <si>
    <t>Design Artefact</t>
  </si>
  <si>
    <t>Tool Used</t>
  </si>
  <si>
    <t>Editable Link / File Name</t>
  </si>
  <si>
    <t>Accessible to Lecturer?</t>
  </si>
  <si>
    <t>Last Updated</t>
  </si>
  <si>
    <t>Responsible Student</t>
  </si>
  <si>
    <t>Included in SRS?</t>
  </si>
  <si>
    <t>Notes</t>
  </si>
  <si>
    <t>draw io</t>
  </si>
  <si>
    <t>https://tinyurl.com/4db6yj2n</t>
  </si>
  <si>
    <t>Msawakhe,Benny, Bontle</t>
  </si>
  <si>
    <t>Upload the latest architecture diagram and add a shareable editable/view link. Check that Flutter and ASP.NET connect to Supabase, which provides backend services, database, storage and authentication. Confirm lecturer access and whether it is included in the SRS.</t>
  </si>
  <si>
    <t>https://tinyurl.com/4ks4tbm2</t>
  </si>
  <si>
    <t>Asive, Unarine, Bokamoso</t>
  </si>
  <si>
    <t>Add the final use case diagram link. Check that Administrator, PTO Officer and Beneficiary are shown with the correct use cases, relationships and system boundary. Use the latest stakeholder-confirmed requirements and confirm lecturer access.</t>
  </si>
  <si>
    <t>https://tinyurl.com/bdcnhxa4</t>
  </si>
  <si>
    <t>Add the Flutter sequence diagram link. Check the order of messages, requests and responses, and show Supabase handling the relevant authentication/backend interactions. Do not show the Administrator as a mobile-app user.</t>
  </si>
  <si>
    <t>Add the ASP.NET sequence diagram link. Check the web workflow for Administrator and PTO applicants and ensure Supabase is shown as the backend. Verify message direction and return messages</t>
  </si>
  <si>
    <t>Add the ERD link. Check entity names, attributes, primary and foreign keys, relationships and cardinalities.</t>
  </si>
  <si>
    <t>Figma</t>
  </si>
  <si>
    <t xml:space="preserve">
https://www.figma.com/design/hF3g70wiKh3NJvoP6Dmpen/Untitled?node-id=300-689&amp;p=f&amp;t=jQzNewh1hYUo0MM9-0</t>
  </si>
  <si>
    <t>Add the Flutter interface design link or screenshot folder. Check that the mobile screens and navigation support the Beneficiary workflow and match the approved requirements. Ensure shared files can be viewed by the lecturer.</t>
  </si>
  <si>
    <t>Msawakhe</t>
  </si>
  <si>
    <t>Add the ASP.NET interface design link or screenshot folder. Check that the web screens support Administrator and PTO Officer tasks and are consistent with the use case and sequence diagrams.</t>
  </si>
  <si>
    <t>Navigation Flow</t>
  </si>
  <si>
    <t>Figma (Prototypes)</t>
  </si>
  <si>
    <t xml:space="preserve">https://www.figma.com/proto/hF3g70wiKh3NJvoP6Dmpen/Untitled?node-id=320-11925&amp;p=f&amp;t=ajQtHtzP4WYwDvLs-1&amp;scaling=scale-down&amp;content-scaling=fixed&amp;page-id=300%3A689&amp;starting-point-node-id=320%3A11925
</t>
  </si>
  <si>
    <t>Add the navigation flow link. Check that the screen transitions match the Flutter and ASP.NET interfaces and that each role can reach only the relevant screens. Verify that the flow matches the final design.</t>
  </si>
  <si>
    <t>https://www.figma.com/proto/hF3g70wiKh3NJvoP6Dmpen/Untitled?node-id=106-16&amp;t=f7781PNJRa1UwXdE-1&amp;scaling=scale-down&amp;content-scaling=fixed&amp;page-id=0%3A1&amp;starting-point-node-id=106%3A3</t>
  </si>
  <si>
    <t>Phase 2 Challenges and Corrective Actions</t>
  </si>
  <si>
    <t>Date Identified</t>
  </si>
  <si>
    <t>Challenge</t>
  </si>
  <si>
    <t>Effect on Progress / Design</t>
  </si>
  <si>
    <t>Corrective Action</t>
  </si>
  <si>
    <t>Target Date</t>
  </si>
  <si>
    <t>Resolved Date</t>
  </si>
  <si>
    <t>17/09/2026</t>
  </si>
  <si>
    <t>Keeping requirements consistent after stakeholder feedback</t>
  </si>
  <si>
    <t>Earlier requirements included actions that the stakeholder no longer wanted.</t>
  </si>
  <si>
    <t xml:space="preserve">Consulted with our mentor and advised us to stick on the work that we presented on the previous phase </t>
  </si>
  <si>
    <t>29/09/2026</t>
  </si>
  <si>
    <t>Continue checking design artefacts against the confirmed requirements.</t>
  </si>
  <si>
    <t>28/09/2026</t>
  </si>
  <si>
    <t xml:space="preserve">Diagrams weren't corresponding because everyone was doing them at the comfort of their own </t>
  </si>
  <si>
    <t>This caused inconsistencies between the diagrams, required additional reviews and corrections, and delayed the finalisation of the Phase 2 design documentation.</t>
  </si>
  <si>
    <t>The group reviewed the diagrams together, agreed on common requirements and design standards, and updated the diagrams to ensure consistency between the system architecture, use case diagram, sequence diagrams, ERD and class diagram.</t>
  </si>
  <si>
    <t>The group identified inconsistencies between the diagrams because members worked independently without a common design standard. The diagrams were reviewed and aligned with the agreed requirements to ensure consistency across the system. Future diagram updates will be discussed and reviewed collaboratively before finalisation.</t>
  </si>
  <si>
    <t>Phase 2 – System Architecture and Design</t>
  </si>
  <si>
    <t>Phase 2 Completion Checklist</t>
  </si>
  <si>
    <t>Complete?</t>
  </si>
  <si>
    <t>Architecture complete</t>
  </si>
  <si>
    <t>What was completed during Phase 2?</t>
  </si>
  <si>
    <t>The group developed the main Phase 2 design diagrams: system architecture, use case diagram, separate Flutter and ASP.NET sequence diagrams, ERD, mobile/web interface designs, updated SRS and GitHub documentation.</t>
  </si>
  <si>
    <t>Use Case Diagram complete</t>
  </si>
  <si>
    <t>What remains incomplete?</t>
  </si>
  <si>
    <t xml:space="preserve">SRS document </t>
  </si>
  <si>
    <t>Two Sequence Diagrams complete</t>
  </si>
  <si>
    <t>Why is it incomplete?</t>
  </si>
  <si>
    <t>Some evidence such as exact editable links, final Microsoft Project screenshots</t>
  </si>
  <si>
    <t>ERD complete</t>
  </si>
  <si>
    <t>Which contributions were particularly important?</t>
  </si>
  <si>
    <t>Project management/GitHub organisation, requirements follow-up and UML/system-design work were important because they kept the Phase 2 diagrams aligned.</t>
  </si>
  <si>
    <t>Flutter interfaces complete</t>
  </si>
  <si>
    <t>Were there participation concerns?</t>
  </si>
  <si>
    <t>ASP.NET interfaces complete</t>
  </si>
  <si>
    <t>What will the group improve in Phase 3?</t>
  </si>
  <si>
    <t>Improve early allocation of design tasks, keep evidence updated as work is completed, and review all diagrams before submission date.</t>
  </si>
  <si>
    <t>Editable source links/files recorded</t>
  </si>
  <si>
    <t>Main priority for Phase 3</t>
  </si>
  <si>
    <t>Finalise development planning, Microsoft Project updates, evidence links and Phase 3 implementations</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</si>
  <si>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</si>
  <si>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</si>
  <si>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</si>
  <si>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</si>
  <si>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</si>
  <si>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</si>
  <si>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</si>
  <si>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</si>
  <si>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The group successfully produced the main Phase 2 architecture and design artefacts, including the system architecture, use case diagram, Flutter and ASP.NET sequence diagrams, ERD, interface designs, updated requirements/SRS content and GitHub documentation</t>
  </si>
  <si>
    <t>2. Which architecture or design activities were the most challenging?</t>
  </si>
  <si>
    <t>The most challenging activities were deciding how to represent Flutter, ASP.NET and Supabase clearly and separating mobile and web sequence processes also required careful consideration of which actors use each application.</t>
  </si>
  <si>
    <t>3. How did the group ensure that Flutter, ASP.NET and Supabase were designed as one integrated system?</t>
  </si>
  <si>
    <t>The group treated Flutter and ASP.NET as the application layers and Supabase as the shared backend responsible for authentication, database and storage. The architecture and sequence diagrams were adjusted to reflect this integration</t>
  </si>
  <si>
    <t>4. How was work divided among group members, and was participation balanced?</t>
  </si>
  <si>
    <t>Work was divided according to the group's assigned responsibilities, with members contributing to requirements, diagrams, interfaces, documentation and project management. Participation was checked against the individual contribution and evidence records before final submission.</t>
  </si>
  <si>
    <t>5. What did the group learn from developing the UML, ERD and interface designs?</t>
  </si>
  <si>
    <t>The group learnt that UML, ERD and interface designs must describe the same system consistently. Changes to a requirement can affect several diagrams and screens, so the designs need to be reviewed together rather than independently.</t>
  </si>
  <si>
    <t>6. What will the group do differently during development in Phase 3?</t>
  </si>
  <si>
    <t>As a group we decided that we will have meetings frequently to avoid the diagrams that aren't corresponding and we will allocate development tasks more explicitly, maintain GitHub evidence continuously, update Microsoft Project as work happens, test integrations early and keep checking implementation against the approved requirements and designs.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</si>
</sst>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name val="Carlito"/>
      <charset val="134"/>
    </font>
    <font>
      <b/>
      <sz val="15"/>
      <color rgb="FFFFFFFF"/>
      <name val="Carlito"/>
      <charset val="134"/>
    </font>
    <font>
      <b/>
      <sz val="11"/>
      <name val="Carlito"/>
      <charset val="134"/>
    </font>
    <font>
      <b/>
      <sz val="11"/>
      <color rgb="FFFFFFFF"/>
      <name val="Carlito"/>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FF2CC"/>
        <bgColor indexed="64"/>
      </patternFill>
    </fill>
    <fill>
      <patternFill patternType="solid">
        <fgColor rgb="FFE2F0D9"/>
        <bgColor indexed="64"/>
      </patternFill>
    </fill>
    <fill>
      <patternFill patternType="solid">
        <fgColor rgb="FFF3F6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7"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8" borderId="4" applyNumberFormat="0" applyAlignment="0" applyProtection="0">
      <alignment vertical="center"/>
    </xf>
    <xf numFmtId="0" fontId="14" fillId="9" borderId="5" applyNumberFormat="0" applyAlignment="0" applyProtection="0">
      <alignment vertical="center"/>
    </xf>
    <xf numFmtId="0" fontId="15" fillId="9" borderId="4" applyNumberFormat="0" applyAlignment="0" applyProtection="0">
      <alignment vertical="center"/>
    </xf>
    <xf numFmtId="0" fontId="16" fillId="10"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2" fillId="37" borderId="0" applyNumberFormat="0" applyBorder="0" applyAlignment="0" applyProtection="0">
      <alignment vertical="center"/>
    </xf>
  </cellStyleXfs>
  <cellXfs count="21">
    <xf numFmtId="0" fontId="0" fillId="0" borderId="0" xfId="0"/>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wrapText="1"/>
    </xf>
    <xf numFmtId="0" fontId="0" fillId="4" borderId="0" xfId="0" applyNumberFormat="1" applyFont="1" applyFill="1" applyBorder="1" applyAlignment="1">
      <alignment vertical="top" wrapText="1"/>
    </xf>
    <xf numFmtId="0" fontId="2" fillId="4" borderId="0" xfId="0" applyNumberFormat="1" applyFont="1" applyFill="1" applyBorder="1" applyAlignment="1">
      <alignment vertical="top" wrapText="1"/>
    </xf>
    <xf numFmtId="0" fontId="2" fillId="3" borderId="0" xfId="0" applyNumberFormat="1" applyFont="1" applyFill="1" applyBorder="1" applyAlignment="1">
      <alignment vertical="top" wrapText="1"/>
    </xf>
    <xf numFmtId="0" fontId="3" fillId="2" borderId="0" xfId="0" applyNumberFormat="1" applyFont="1" applyFill="1" applyBorder="1" applyAlignment="1">
      <alignment horizontal="center" vertical="center" wrapText="1"/>
    </xf>
    <xf numFmtId="58" fontId="0" fillId="4" borderId="0" xfId="0" applyNumberFormat="1" applyFont="1" applyFill="1" applyBorder="1" applyAlignment="1">
      <alignment vertical="top" wrapText="1"/>
    </xf>
    <xf numFmtId="0" fontId="4" fillId="4" borderId="0" xfId="6" applyNumberFormat="1" applyFill="1" applyBorder="1" applyAlignment="1">
      <alignment vertical="top" wrapText="1"/>
    </xf>
    <xf numFmtId="0" fontId="5" fillId="4" borderId="0" xfId="6" applyNumberFormat="1" applyFont="1" applyFill="1" applyBorder="1" applyAlignment="1">
      <alignment vertical="top" wrapText="1"/>
    </xf>
    <xf numFmtId="0" fontId="4" fillId="0" borderId="0" xfId="6"/>
    <xf numFmtId="0" fontId="0" fillId="0" borderId="0" xfId="0" applyNumberFormat="1" applyFont="1" applyFill="1" applyBorder="1" applyAlignment="1">
      <alignment wrapText="1"/>
    </xf>
    <xf numFmtId="9" fontId="0" fillId="4" borderId="0" xfId="0" applyNumberFormat="1" applyFont="1" applyFill="1" applyBorder="1" applyAlignment="1">
      <alignment vertical="top" wrapText="1"/>
    </xf>
    <xf numFmtId="9" fontId="0" fillId="4" borderId="0" xfId="0" applyNumberFormat="1" applyFont="1" applyFill="1" applyBorder="1" applyAlignment="1" applyProtection="1">
      <alignment vertical="top" wrapText="1"/>
    </xf>
    <xf numFmtId="0" fontId="3" fillId="2" borderId="0" xfId="0" applyNumberFormat="1" applyFont="1" applyFill="1" applyBorder="1" applyAlignment="1">
      <alignment horizontal="center"/>
    </xf>
    <xf numFmtId="0" fontId="2" fillId="3" borderId="0" xfId="0" applyNumberFormat="1" applyFont="1" applyFill="1" applyBorder="1"/>
    <xf numFmtId="0" fontId="2" fillId="5" borderId="0" xfId="0" applyNumberFormat="1" applyFont="1" applyFill="1" applyBorder="1" applyAlignment="1">
      <alignment horizontal="center"/>
    </xf>
    <xf numFmtId="9" fontId="2" fillId="5" borderId="0" xfId="0" applyNumberFormat="1" applyFont="1" applyFill="1" applyBorder="1" applyAlignment="1">
      <alignment horizontal="center"/>
    </xf>
    <xf numFmtId="0" fontId="3" fillId="2" borderId="0" xfId="0" applyNumberFormat="1" applyFont="1" applyFill="1" applyBorder="1"/>
    <xf numFmtId="0" fontId="0" fillId="6" borderId="0" xfId="0" applyNumberFormat="1" applyFont="1" applyFill="1" applyBorder="1" applyAlignment="1">
      <alignment vertical="top" wrapText="1"/>
    </xf>
    <xf numFmtId="0" fontId="0" fillId="6" borderId="0"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ill>
        <patternFill patternType="solid">
          <bgColor rgb="FFE2F0D9"/>
        </patternFill>
      </fill>
    </dxf>
    <dxf>
      <fill>
        <patternFill patternType="solid">
          <bgColor rgb="FFF4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github.com/HlungwaneB/PTO-Management-System.gi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Uo5sqDHVdWggDIMcEA_ooj2hw8hdq9Bg/view?usp=sharing" TargetMode="External"/><Relationship Id="rId7" Type="http://schemas.openxmlformats.org/officeDocument/2006/relationships/hyperlink" Target="https://www.figma.com/design/hF3g70wiKh3NJvoP6Dmpen/Untitled?node-id=0-1&amp;p=f&amp;t=jQzNewh1hYUo0MM9-0" TargetMode="External"/><Relationship Id="rId6" Type="http://schemas.openxmlformats.org/officeDocument/2006/relationships/hyperlink" Target="https://tinyurl.com/48anbe67&#10;" TargetMode="External"/><Relationship Id="rId5" Type="http://schemas.openxmlformats.org/officeDocument/2006/relationships/hyperlink" Target="https://github.com/HlungwaneB/PTO-Management-System.git" TargetMode="External"/><Relationship Id="rId4" Type="http://schemas.openxmlformats.org/officeDocument/2006/relationships/hyperlink" Target="https://drive.google.com/file/d/1RCdWsGNttKu3tlA8mCnbEmuzx2rV7G06/view?usp=sharing" TargetMode="External"/><Relationship Id="rId3" Type="http://schemas.openxmlformats.org/officeDocument/2006/relationships/hyperlink" Target="https://drive.google.com/file/d/13mRYru-zK5hlS8O_3QRGihbv6UpAHD_3/view?usp=sharing" TargetMode="External"/><Relationship Id="rId2" Type="http://schemas.openxmlformats.org/officeDocument/2006/relationships/hyperlink" Target="https://drive.google.com/file/d/1WBh-Hiv2V74NSPv8v9fl7C-p25Q1AU0S/view?usp=sharing" TargetMode="External"/><Relationship Id="rId1" Type="http://schemas.openxmlformats.org/officeDocument/2006/relationships/hyperlink" Target="https://drive.google.com/file/d/1zymVeBIBddz3-NPUaYL9fXgwnM-0U4Tq/view?usp=sharing" TargetMode="External"/></Relationships>
</file>

<file path=xl/worksheets/_rels/sheet4.xml.rels><?xml version="1.0" encoding="UTF-8" standalone="yes"?>
<Relationships xmlns="http://schemas.openxmlformats.org/package/2006/relationships"><Relationship Id="rId5" Type="http://schemas.openxmlformats.org/officeDocument/2006/relationships/hyperlink" Target="https://tinyurl.com/4ntknas4" TargetMode="External"/><Relationship Id="rId4" Type="http://schemas.openxmlformats.org/officeDocument/2006/relationships/hyperlink" Target="https://drive.google.com/file/d/1tZK_eGJNWONjl7ZVAQ2BYRstlMcYC516/view?usp=sharing" TargetMode="External"/><Relationship Id="rId3" Type="http://schemas.openxmlformats.org/officeDocument/2006/relationships/hyperlink" Target="https://drive.google.com/file/d/13mRYru-zK5hlS8O_3QRGihbv6UpAHD_3/view?usp=sharing" TargetMode="External"/><Relationship Id="rId2" Type="http://schemas.openxmlformats.org/officeDocument/2006/relationships/hyperlink" Target="https://drive.google.com/file/d/1WBh-Hiv2V74NSPv8v9fl7C-p25Q1AU0S/view?usp=sharing" TargetMode="External"/><Relationship Id="rId1" Type="http://schemas.openxmlformats.org/officeDocument/2006/relationships/hyperlink" Target="https://github.com/HlungwaneB/PTO-Management-System.gi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igma.com/proto/hF3g70wiKh3NJvoP6Dmpen/Untitled?node-id=106-16&amp;t=f7781PNJRa1UwXdE-1&amp;scaling=scale-down&amp;content-scaling=fixed&amp;page-id=0%3A1&amp;starting-point-node-id=106%3A3" TargetMode="External"/><Relationship Id="rId7" Type="http://schemas.openxmlformats.org/officeDocument/2006/relationships/hyperlink" Target="https://tinyurl.com/48anbe67&#10;" TargetMode="External"/><Relationship Id="rId6" Type="http://schemas.openxmlformats.org/officeDocument/2006/relationships/hyperlink" Target="https://www.figma.com/design/hF3g70wiKh3NJvoP6Dmpen/Untitled?node-id=0-1&amp;p=f&amp;t=jQzNewh1hYUo0MM9-0" TargetMode="External"/><Relationship Id="rId5" Type="http://schemas.openxmlformats.org/officeDocument/2006/relationships/hyperlink" Target="https://www.figma.com/proto/hF3g70wiKh3NJvoP6Dmpen/Untitled?node-id=320-11925&amp;p=f&amp;t=ajQtHtzP4WYwDvLs-1&amp;scaling=scale-down&amp;content-scaling=fixed&amp;page-id=300%3A689&amp;starting-point-node-id=320%3A11925&#10;" TargetMode="External"/><Relationship Id="rId4" Type="http://schemas.openxmlformats.org/officeDocument/2006/relationships/hyperlink" Target="https://tinyurl.com/4db6yj2n" TargetMode="External"/><Relationship Id="rId3" Type="http://schemas.openxmlformats.org/officeDocument/2006/relationships/hyperlink" Target="https://tinyurl.com/4ks4tbm2" TargetMode="External"/><Relationship Id="rId2" Type="http://schemas.openxmlformats.org/officeDocument/2006/relationships/hyperlink" Target="https://tinyurl.com/4ntknas4" TargetMode="External"/><Relationship Id="rId1" Type="http://schemas.openxmlformats.org/officeDocument/2006/relationships/hyperlink" Target="https://tinyurl.com/bdcnhxa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opLeftCell="A14" workbookViewId="0">
      <selection activeCell="A1" sqref="A1:F1"/>
    </sheetView>
  </sheetViews>
  <sheetFormatPr defaultColWidth="9" defaultRowHeight="13.8" outlineLevelCol="5"/>
  <cols>
    <col min="1" max="1" width="25" customWidth="1"/>
    <col min="2" max="2" width="38" customWidth="1"/>
    <col min="3" max="3" width="52" customWidth="1"/>
    <col min="4" max="6" width="14" customWidth="1"/>
  </cols>
  <sheetData>
    <row r="1" ht="34" customHeight="1" spans="1:6">
      <c r="A1" s="1" t="s">
        <v>0</v>
      </c>
      <c r="B1" s="1"/>
      <c r="C1" s="1"/>
      <c r="D1" s="1"/>
      <c r="E1" s="1"/>
      <c r="F1" s="1"/>
    </row>
    <row r="2" ht="34" customHeight="1" spans="1:6">
      <c r="A2" s="20" t="s">
        <v>1</v>
      </c>
      <c r="B2" s="20"/>
      <c r="C2" s="20"/>
      <c r="D2" s="20"/>
      <c r="E2" s="20"/>
      <c r="F2" s="20"/>
    </row>
    <row r="4" ht="30" customHeight="1" spans="1:3">
      <c r="A4" s="6" t="s">
        <v>2</v>
      </c>
      <c r="B4" s="6" t="s">
        <v>3</v>
      </c>
      <c r="C4" s="6" t="s">
        <v>4</v>
      </c>
    </row>
    <row r="5" ht="40" customHeight="1" spans="1:3">
      <c r="A5" s="11" t="s">
        <v>5</v>
      </c>
      <c r="B5" s="11" t="s">
        <v>6</v>
      </c>
      <c r="C5" s="11" t="s">
        <v>7</v>
      </c>
    </row>
    <row r="6" ht="40" customHeight="1" spans="1:3">
      <c r="A6" s="11" t="s">
        <v>8</v>
      </c>
      <c r="B6" s="11" t="s">
        <v>9</v>
      </c>
      <c r="C6" s="11" t="s">
        <v>10</v>
      </c>
    </row>
    <row r="7" ht="40" customHeight="1" spans="1:3">
      <c r="A7" s="11" t="s">
        <v>11</v>
      </c>
      <c r="B7" s="11" t="s">
        <v>12</v>
      </c>
      <c r="C7" s="11" t="s">
        <v>13</v>
      </c>
    </row>
    <row r="8" ht="40" customHeight="1" spans="1:3">
      <c r="A8" s="11" t="s">
        <v>14</v>
      </c>
      <c r="B8" s="11" t="s">
        <v>15</v>
      </c>
      <c r="C8" s="11" t="s">
        <v>16</v>
      </c>
    </row>
    <row r="9" ht="40" customHeight="1" spans="1:3">
      <c r="A9" s="11" t="s">
        <v>17</v>
      </c>
      <c r="B9" s="11" t="s">
        <v>18</v>
      </c>
      <c r="C9" s="11" t="s">
        <v>19</v>
      </c>
    </row>
    <row r="10" ht="40" customHeight="1" spans="1:3">
      <c r="A10" s="11" t="s">
        <v>20</v>
      </c>
      <c r="B10" s="11" t="s">
        <v>21</v>
      </c>
      <c r="C10" s="11" t="s">
        <v>22</v>
      </c>
    </row>
    <row r="11" ht="40" customHeight="1" spans="1:3">
      <c r="A11" s="11" t="s">
        <v>23</v>
      </c>
      <c r="B11" s="11" t="s">
        <v>24</v>
      </c>
      <c r="C11" s="11" t="s">
        <v>25</v>
      </c>
    </row>
    <row r="13" spans="1:6">
      <c r="A13" s="18" t="s">
        <v>26</v>
      </c>
      <c r="B13" s="18" t="s">
        <v>27</v>
      </c>
      <c r="C13" s="18" t="s">
        <v>27</v>
      </c>
      <c r="D13" s="18" t="s">
        <v>27</v>
      </c>
      <c r="E13" s="18" t="s">
        <v>27</v>
      </c>
      <c r="F13" s="18" t="s">
        <v>27</v>
      </c>
    </row>
    <row r="14" spans="1:6">
      <c r="A14" s="19" t="s">
        <v>28</v>
      </c>
      <c r="B14" s="19"/>
      <c r="C14" s="19"/>
      <c r="D14" s="19"/>
      <c r="E14" s="19"/>
      <c r="F14" s="19"/>
    </row>
    <row r="15" spans="1:6">
      <c r="A15" s="19"/>
      <c r="B15" s="19"/>
      <c r="C15" s="19"/>
      <c r="D15" s="19"/>
      <c r="E15" s="19"/>
      <c r="F15" s="19"/>
    </row>
    <row r="16" spans="1:6">
      <c r="A16" s="19"/>
      <c r="B16" s="19"/>
      <c r="C16" s="19"/>
      <c r="D16" s="19"/>
      <c r="E16" s="19"/>
      <c r="F16" s="19"/>
    </row>
    <row r="17" spans="1:6">
      <c r="A17" s="19"/>
      <c r="B17" s="19"/>
      <c r="C17" s="19"/>
      <c r="D17" s="19"/>
      <c r="E17" s="19"/>
      <c r="F17" s="19"/>
    </row>
    <row r="18" spans="1:6">
      <c r="A18" s="19"/>
      <c r="B18" s="19"/>
      <c r="C18" s="19"/>
      <c r="D18" s="19"/>
      <c r="E18" s="19"/>
      <c r="F18" s="19"/>
    </row>
  </sheetData>
  <mergeCells count="4">
    <mergeCell ref="A1:F1"/>
    <mergeCell ref="A2:F2"/>
    <mergeCell ref="A13:F13"/>
    <mergeCell ref="A14:F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workbookViewId="0">
      <selection activeCell="E18" sqref="E18"/>
    </sheetView>
  </sheetViews>
  <sheetFormatPr defaultColWidth="9" defaultRowHeight="13.8" outlineLevelCol="7"/>
  <cols>
    <col min="1" max="1" width="27" customWidth="1"/>
    <col min="2" max="2" width="38" customWidth="1"/>
    <col min="3" max="3" width="4" customWidth="1"/>
    <col min="4" max="4" width="25" customWidth="1"/>
    <col min="5" max="5" width="18" customWidth="1"/>
    <col min="6" max="8" width="16" customWidth="1"/>
  </cols>
  <sheetData>
    <row r="1" ht="34" customHeight="1" spans="1:8">
      <c r="A1" s="1" t="s">
        <v>29</v>
      </c>
      <c r="B1" s="1"/>
      <c r="C1" s="1"/>
      <c r="D1" s="1"/>
      <c r="E1" s="1"/>
      <c r="F1" s="1"/>
      <c r="G1" s="1"/>
      <c r="H1" s="1"/>
    </row>
    <row r="3" spans="1:8">
      <c r="A3" s="2" t="s">
        <v>30</v>
      </c>
      <c r="B3" s="3" t="s">
        <v>31</v>
      </c>
      <c r="D3" s="14" t="s">
        <v>32</v>
      </c>
      <c r="E3" s="14" t="s">
        <v>27</v>
      </c>
      <c r="F3" s="14" t="s">
        <v>27</v>
      </c>
      <c r="G3" s="14" t="s">
        <v>27</v>
      </c>
      <c r="H3" s="14" t="s">
        <v>27</v>
      </c>
    </row>
    <row r="4" ht="27.6" spans="1:5">
      <c r="A4" s="2" t="s">
        <v>33</v>
      </c>
      <c r="B4" s="3" t="s">
        <v>34</v>
      </c>
      <c r="D4" s="15" t="s">
        <v>35</v>
      </c>
      <c r="E4" s="16">
        <f>COUNTA('Design Progress'!A4:A33)</f>
        <v>12</v>
      </c>
    </row>
    <row r="5" ht="27.6" spans="1:5">
      <c r="A5" s="2" t="s">
        <v>36</v>
      </c>
      <c r="B5" s="3" t="s">
        <v>37</v>
      </c>
      <c r="D5" s="15" t="s">
        <v>38</v>
      </c>
      <c r="E5" s="16">
        <f>COUNTIF('Design Progress'!G4:G33,"Completed")</f>
        <v>12</v>
      </c>
    </row>
    <row r="6" spans="1:5">
      <c r="A6" s="2" t="s">
        <v>39</v>
      </c>
      <c r="B6" s="3" t="s">
        <v>40</v>
      </c>
      <c r="D6" s="15" t="s">
        <v>41</v>
      </c>
      <c r="E6" s="16">
        <f>COUNTIF('Design Progress'!G4:G33,"In Progress")</f>
        <v>0</v>
      </c>
    </row>
    <row r="7" spans="1:5">
      <c r="A7" s="2" t="s">
        <v>42</v>
      </c>
      <c r="B7" s="3">
        <v>6</v>
      </c>
      <c r="D7" s="15" t="s">
        <v>43</v>
      </c>
      <c r="E7" s="16">
        <f>COUNTIF('Design Progress'!G4:G33,"Blocked")</f>
        <v>0</v>
      </c>
    </row>
    <row r="8" ht="28.8" spans="1:5">
      <c r="A8" s="2" t="s">
        <v>44</v>
      </c>
      <c r="B8" s="8" t="s">
        <v>45</v>
      </c>
      <c r="D8" s="15" t="s">
        <v>46</v>
      </c>
      <c r="E8" s="17">
        <v>1</v>
      </c>
    </row>
    <row r="9" spans="1:2">
      <c r="A9" s="2" t="s">
        <v>47</v>
      </c>
      <c r="B9" s="3" t="s">
        <v>48</v>
      </c>
    </row>
    <row r="10" spans="1:8">
      <c r="A10" s="2" t="s">
        <v>49</v>
      </c>
      <c r="B10" s="3" t="s">
        <v>38</v>
      </c>
      <c r="D10" s="18" t="s">
        <v>50</v>
      </c>
      <c r="E10" s="18"/>
      <c r="F10" s="18"/>
      <c r="G10" s="18"/>
      <c r="H10" s="18"/>
    </row>
    <row r="11" spans="4:8">
      <c r="D11" s="19" t="s">
        <v>51</v>
      </c>
      <c r="E11" s="19"/>
      <c r="F11" s="19"/>
      <c r="G11" s="19"/>
      <c r="H11" s="19"/>
    </row>
    <row r="12" spans="4:8">
      <c r="D12" s="19"/>
      <c r="E12" s="19"/>
      <c r="F12" s="19"/>
      <c r="G12" s="19"/>
      <c r="H12" s="19"/>
    </row>
    <row r="13" spans="4:8">
      <c r="D13" s="19"/>
      <c r="E13" s="19"/>
      <c r="F13" s="19"/>
      <c r="G13" s="19"/>
      <c r="H13" s="19"/>
    </row>
    <row r="14" spans="4:8">
      <c r="D14" s="19"/>
      <c r="E14" s="19"/>
      <c r="F14" s="19"/>
      <c r="G14" s="19"/>
      <c r="H14" s="19"/>
    </row>
    <row r="15" spans="4:8">
      <c r="D15" s="19"/>
      <c r="E15" s="19"/>
      <c r="F15" s="19"/>
      <c r="G15" s="19"/>
      <c r="H15" s="19"/>
    </row>
  </sheetData>
  <mergeCells count="4">
    <mergeCell ref="A1:H1"/>
    <mergeCell ref="D3:H3"/>
    <mergeCell ref="D10:H10"/>
    <mergeCell ref="D11:H15"/>
  </mergeCells>
  <dataValidations count="1">
    <dataValidation type="list" sqref="B10">
      <formula1>"Not Started,In Progress,Completed,Blocked"</formula1>
    </dataValidation>
  </dataValidations>
  <hyperlinks>
    <hyperlink ref="B8" r:id="rId1" display="https://github.com/HlungwaneB/PTO-Management-System.git "/>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topLeftCell="A7" workbookViewId="0">
      <selection activeCell="C10" sqref="C10"/>
    </sheetView>
  </sheetViews>
  <sheetFormatPr defaultColWidth="9" defaultRowHeight="13.8"/>
  <cols>
    <col min="1" max="1" width="11" customWidth="1"/>
    <col min="2" max="2" width="26" customWidth="1"/>
    <col min="3" max="3" width="44" customWidth="1"/>
    <col min="4" max="4" width="25" customWidth="1"/>
    <col min="5" max="7" width="15" customWidth="1"/>
    <col min="8" max="8" width="12" customWidth="1"/>
    <col min="9" max="10" width="34" customWidth="1"/>
  </cols>
  <sheetData>
    <row r="1" ht="34" customHeight="1" spans="1:10">
      <c r="A1" s="1" t="s">
        <v>52</v>
      </c>
      <c r="B1" s="1"/>
      <c r="C1" s="1"/>
      <c r="D1" s="1"/>
      <c r="E1" s="1"/>
      <c r="F1" s="1"/>
      <c r="G1" s="1"/>
      <c r="H1" s="1"/>
      <c r="I1" s="1"/>
      <c r="J1" s="1"/>
    </row>
    <row r="3" ht="30" customHeight="1" spans="1:10">
      <c r="A3" s="6" t="s">
        <v>53</v>
      </c>
      <c r="B3" s="6" t="s">
        <v>54</v>
      </c>
      <c r="C3" s="6" t="s">
        <v>55</v>
      </c>
      <c r="D3" s="6" t="s">
        <v>56</v>
      </c>
      <c r="E3" s="6" t="s">
        <v>57</v>
      </c>
      <c r="F3" s="6" t="s">
        <v>58</v>
      </c>
      <c r="G3" s="6" t="s">
        <v>59</v>
      </c>
      <c r="H3" s="6" t="s">
        <v>60</v>
      </c>
      <c r="I3" s="6" t="s">
        <v>61</v>
      </c>
      <c r="J3" s="6" t="s">
        <v>62</v>
      </c>
    </row>
    <row r="4" ht="43.2" spans="1:10">
      <c r="A4" s="11" t="s">
        <v>63</v>
      </c>
      <c r="B4" s="11" t="s">
        <v>64</v>
      </c>
      <c r="C4" s="11" t="s">
        <v>65</v>
      </c>
      <c r="D4" s="3" t="s">
        <v>66</v>
      </c>
      <c r="E4" s="3" t="s">
        <v>67</v>
      </c>
      <c r="F4" s="7" t="s">
        <v>68</v>
      </c>
      <c r="G4" s="3" t="s">
        <v>38</v>
      </c>
      <c r="H4" s="12">
        <v>1</v>
      </c>
      <c r="I4" s="9" t="s">
        <v>69</v>
      </c>
      <c r="J4" s="3" t="s">
        <v>70</v>
      </c>
    </row>
    <row r="5" ht="43.2" spans="1:10">
      <c r="A5" s="11" t="s">
        <v>71</v>
      </c>
      <c r="B5" s="11" t="s">
        <v>72</v>
      </c>
      <c r="C5" s="11" t="s">
        <v>73</v>
      </c>
      <c r="D5" s="3" t="s">
        <v>74</v>
      </c>
      <c r="E5" s="3" t="s">
        <v>75</v>
      </c>
      <c r="F5" s="7">
        <v>46122</v>
      </c>
      <c r="G5" s="3" t="s">
        <v>38</v>
      </c>
      <c r="H5" s="12">
        <v>1</v>
      </c>
      <c r="I5" s="9" t="s">
        <v>76</v>
      </c>
      <c r="J5" s="3" t="s">
        <v>77</v>
      </c>
    </row>
    <row r="6" ht="43.2" spans="1:10">
      <c r="A6" s="11" t="s">
        <v>78</v>
      </c>
      <c r="B6" s="11" t="s">
        <v>79</v>
      </c>
      <c r="C6" s="11" t="s">
        <v>80</v>
      </c>
      <c r="D6" s="3" t="s">
        <v>74</v>
      </c>
      <c r="E6" s="3" t="s">
        <v>81</v>
      </c>
      <c r="F6" s="7">
        <v>46122</v>
      </c>
      <c r="G6" s="3" t="s">
        <v>38</v>
      </c>
      <c r="H6" s="12">
        <v>1</v>
      </c>
      <c r="I6" s="9" t="s">
        <v>82</v>
      </c>
      <c r="J6" s="3" t="s">
        <v>83</v>
      </c>
    </row>
    <row r="7" ht="43.2" spans="1:10">
      <c r="A7" s="11" t="s">
        <v>84</v>
      </c>
      <c r="B7" s="11" t="s">
        <v>85</v>
      </c>
      <c r="C7" s="11" t="s">
        <v>86</v>
      </c>
      <c r="D7" s="3" t="s">
        <v>74</v>
      </c>
      <c r="E7" s="3" t="s">
        <v>87</v>
      </c>
      <c r="F7" s="7">
        <v>46122</v>
      </c>
      <c r="G7" s="3" t="s">
        <v>38</v>
      </c>
      <c r="H7" s="12">
        <v>1</v>
      </c>
      <c r="I7" s="9" t="s">
        <v>88</v>
      </c>
      <c r="J7" s="3" t="s">
        <v>89</v>
      </c>
    </row>
    <row r="8" ht="28.8" spans="1:10">
      <c r="A8" s="11" t="s">
        <v>90</v>
      </c>
      <c r="B8" s="11" t="s">
        <v>91</v>
      </c>
      <c r="C8" s="11" t="s">
        <v>92</v>
      </c>
      <c r="D8" s="3" t="s">
        <v>93</v>
      </c>
      <c r="E8" s="3" t="s">
        <v>81</v>
      </c>
      <c r="F8" s="7">
        <v>46122</v>
      </c>
      <c r="G8" s="3" t="s">
        <v>38</v>
      </c>
      <c r="H8" s="12">
        <v>1</v>
      </c>
      <c r="I8" s="8" t="s">
        <v>94</v>
      </c>
      <c r="J8" s="3" t="s">
        <v>95</v>
      </c>
    </row>
    <row r="9" ht="43.2" spans="1:10">
      <c r="A9" s="11" t="s">
        <v>96</v>
      </c>
      <c r="B9" s="11" t="s">
        <v>97</v>
      </c>
      <c r="C9" s="11" t="s">
        <v>98</v>
      </c>
      <c r="D9" s="3" t="s">
        <v>99</v>
      </c>
      <c r="E9" s="3" t="s">
        <v>100</v>
      </c>
      <c r="F9" s="7">
        <v>46366</v>
      </c>
      <c r="G9" s="3" t="s">
        <v>38</v>
      </c>
      <c r="H9" s="13">
        <v>1</v>
      </c>
      <c r="I9" s="8" t="s">
        <v>101</v>
      </c>
      <c r="J9" s="3" t="s">
        <v>102</v>
      </c>
    </row>
    <row r="10" ht="43.2" spans="1:10">
      <c r="A10" s="11" t="s">
        <v>103</v>
      </c>
      <c r="B10" s="11" t="s">
        <v>104</v>
      </c>
      <c r="C10" s="11" t="s">
        <v>105</v>
      </c>
      <c r="D10" s="3" t="s">
        <v>106</v>
      </c>
      <c r="E10" s="7">
        <v>46032</v>
      </c>
      <c r="F10" s="7">
        <v>46366</v>
      </c>
      <c r="G10" s="3" t="s">
        <v>38</v>
      </c>
      <c r="H10" s="12">
        <v>1</v>
      </c>
      <c r="I10" s="8" t="s">
        <v>101</v>
      </c>
      <c r="J10" s="3" t="s">
        <v>107</v>
      </c>
    </row>
    <row r="11" spans="1:10">
      <c r="A11" s="11" t="s">
        <v>108</v>
      </c>
      <c r="B11" s="11" t="s">
        <v>109</v>
      </c>
      <c r="C11" s="11" t="s">
        <v>110</v>
      </c>
      <c r="D11" s="3" t="s">
        <v>27</v>
      </c>
      <c r="E11" s="7">
        <v>46152</v>
      </c>
      <c r="F11" s="7">
        <v>46275</v>
      </c>
      <c r="G11" s="3" t="s">
        <v>38</v>
      </c>
      <c r="H11" s="12" t="s">
        <v>27</v>
      </c>
      <c r="I11" s="3" t="s">
        <v>27</v>
      </c>
      <c r="J11" s="3" t="s">
        <v>111</v>
      </c>
    </row>
    <row r="12" ht="27.6" spans="1:10">
      <c r="A12" s="11" t="s">
        <v>112</v>
      </c>
      <c r="B12" s="11" t="s">
        <v>113</v>
      </c>
      <c r="C12" s="11" t="s">
        <v>114</v>
      </c>
      <c r="D12" s="3" t="s">
        <v>115</v>
      </c>
      <c r="E12" s="7">
        <v>46032</v>
      </c>
      <c r="F12" s="7">
        <v>46305</v>
      </c>
      <c r="G12" s="3" t="s">
        <v>38</v>
      </c>
      <c r="H12" s="12">
        <v>1</v>
      </c>
      <c r="I12" s="3" t="s">
        <v>27</v>
      </c>
      <c r="J12" s="3" t="s">
        <v>116</v>
      </c>
    </row>
    <row r="13" ht="43.2" spans="1:10">
      <c r="A13" s="11" t="s">
        <v>117</v>
      </c>
      <c r="B13" s="11" t="s">
        <v>118</v>
      </c>
      <c r="C13" s="11" t="s">
        <v>119</v>
      </c>
      <c r="D13" s="3" t="s">
        <v>93</v>
      </c>
      <c r="E13" s="7">
        <v>46032</v>
      </c>
      <c r="F13" s="7">
        <v>46366</v>
      </c>
      <c r="G13" s="3" t="s">
        <v>38</v>
      </c>
      <c r="H13" s="12">
        <v>1</v>
      </c>
      <c r="I13" s="8" t="s">
        <v>120</v>
      </c>
      <c r="J13" s="3" t="s">
        <v>121</v>
      </c>
    </row>
    <row r="14" ht="28.8" spans="1:10">
      <c r="A14" s="11" t="s">
        <v>122</v>
      </c>
      <c r="B14" s="11" t="s">
        <v>123</v>
      </c>
      <c r="C14" s="11" t="s">
        <v>124</v>
      </c>
      <c r="D14" s="3" t="s">
        <v>125</v>
      </c>
      <c r="E14" s="3" t="s">
        <v>100</v>
      </c>
      <c r="F14" s="7">
        <v>46275</v>
      </c>
      <c r="G14" s="3" t="s">
        <v>38</v>
      </c>
      <c r="H14" s="12">
        <v>1</v>
      </c>
      <c r="I14" s="9" t="s">
        <v>45</v>
      </c>
      <c r="J14" s="3" t="s">
        <v>126</v>
      </c>
    </row>
    <row r="15" ht="27.6" spans="1:10">
      <c r="A15" s="11" t="s">
        <v>127</v>
      </c>
      <c r="B15" s="11" t="s">
        <v>128</v>
      </c>
      <c r="C15" s="11" t="s">
        <v>129</v>
      </c>
      <c r="D15" s="3" t="s">
        <v>130</v>
      </c>
      <c r="E15" s="7">
        <v>46275</v>
      </c>
      <c r="F15" s="3" t="s">
        <v>48</v>
      </c>
      <c r="G15" s="3" t="s">
        <v>38</v>
      </c>
      <c r="H15" s="12">
        <v>1</v>
      </c>
      <c r="I15" s="3" t="s">
        <v>27</v>
      </c>
      <c r="J15" s="3" t="s">
        <v>131</v>
      </c>
    </row>
    <row r="16" spans="1:10">
      <c r="A16" s="11"/>
      <c r="B16" s="11"/>
      <c r="C16" s="11"/>
      <c r="D16" s="3"/>
      <c r="E16" s="3"/>
      <c r="F16" s="3"/>
      <c r="G16" s="3"/>
      <c r="H16" s="12"/>
      <c r="I16" s="3"/>
      <c r="J16" s="3"/>
    </row>
    <row r="17" spans="1:10">
      <c r="A17" s="11"/>
      <c r="B17" s="11"/>
      <c r="C17" s="11"/>
      <c r="D17" s="3"/>
      <c r="E17" s="3"/>
      <c r="F17" s="3"/>
      <c r="G17" s="3"/>
      <c r="H17" s="12"/>
      <c r="I17" s="3"/>
      <c r="J17" s="3"/>
    </row>
    <row r="18" spans="1:10">
      <c r="A18" s="11"/>
      <c r="B18" s="11"/>
      <c r="C18" s="11"/>
      <c r="D18" s="3"/>
      <c r="E18" s="3"/>
      <c r="F18" s="3"/>
      <c r="G18" s="3"/>
      <c r="H18" s="12"/>
      <c r="I18" s="3"/>
      <c r="J18" s="3"/>
    </row>
    <row r="19" spans="1:10">
      <c r="A19" s="11"/>
      <c r="B19" s="11"/>
      <c r="C19" s="11"/>
      <c r="D19" s="3"/>
      <c r="E19" s="3"/>
      <c r="F19" s="3"/>
      <c r="G19" s="3"/>
      <c r="H19" s="12"/>
      <c r="I19" s="3"/>
      <c r="J19" s="3"/>
    </row>
    <row r="20" spans="1:10">
      <c r="A20" s="11"/>
      <c r="B20" s="11"/>
      <c r="C20" s="11"/>
      <c r="D20" s="3"/>
      <c r="E20" s="3"/>
      <c r="F20" s="3"/>
      <c r="G20" s="3"/>
      <c r="H20" s="12"/>
      <c r="I20" s="3"/>
      <c r="J20" s="3"/>
    </row>
    <row r="21" spans="1:10">
      <c r="A21" s="11"/>
      <c r="B21" s="11"/>
      <c r="C21" s="11"/>
      <c r="D21" s="3"/>
      <c r="E21" s="3"/>
      <c r="F21" s="3"/>
      <c r="G21" s="3"/>
      <c r="H21" s="12"/>
      <c r="I21" s="3"/>
      <c r="J21" s="3"/>
    </row>
    <row r="22" spans="1:10">
      <c r="A22" s="11"/>
      <c r="B22" s="11"/>
      <c r="C22" s="11"/>
      <c r="D22" s="3"/>
      <c r="E22" s="3"/>
      <c r="F22" s="3"/>
      <c r="G22" s="3"/>
      <c r="H22" s="12"/>
      <c r="I22" s="3"/>
      <c r="J22" s="3"/>
    </row>
    <row r="23" spans="1:10">
      <c r="A23" s="11"/>
      <c r="B23" s="11"/>
      <c r="C23" s="11"/>
      <c r="D23" s="3"/>
      <c r="E23" s="3"/>
      <c r="F23" s="3"/>
      <c r="G23" s="3"/>
      <c r="H23" s="12"/>
      <c r="I23" s="3"/>
      <c r="J23" s="3"/>
    </row>
    <row r="24" spans="1:10">
      <c r="A24" s="11"/>
      <c r="B24" s="11"/>
      <c r="C24" s="11"/>
      <c r="D24" s="3"/>
      <c r="E24" s="3"/>
      <c r="F24" s="3"/>
      <c r="G24" s="3"/>
      <c r="H24" s="12"/>
      <c r="I24" s="3"/>
      <c r="J24" s="3"/>
    </row>
    <row r="25" spans="1:10">
      <c r="A25" s="11"/>
      <c r="B25" s="11"/>
      <c r="C25" s="11"/>
      <c r="D25" s="3"/>
      <c r="E25" s="3"/>
      <c r="F25" s="3"/>
      <c r="G25" s="3"/>
      <c r="H25" s="12"/>
      <c r="I25" s="3"/>
      <c r="J25" s="3"/>
    </row>
    <row r="26" spans="1:10">
      <c r="A26" s="11"/>
      <c r="B26" s="11"/>
      <c r="C26" s="11"/>
      <c r="D26" s="3"/>
      <c r="E26" s="3"/>
      <c r="F26" s="3"/>
      <c r="G26" s="3"/>
      <c r="H26" s="12"/>
      <c r="I26" s="3"/>
      <c r="J26" s="3"/>
    </row>
    <row r="27" spans="1:10">
      <c r="A27" s="11"/>
      <c r="B27" s="11"/>
      <c r="C27" s="11"/>
      <c r="D27" s="3"/>
      <c r="E27" s="3"/>
      <c r="F27" s="3"/>
      <c r="G27" s="3"/>
      <c r="H27" s="12"/>
      <c r="I27" s="3"/>
      <c r="J27" s="3"/>
    </row>
    <row r="28" spans="1:10">
      <c r="A28" s="11"/>
      <c r="B28" s="11"/>
      <c r="C28" s="11"/>
      <c r="D28" s="3"/>
      <c r="E28" s="3"/>
      <c r="F28" s="3"/>
      <c r="G28" s="3"/>
      <c r="H28" s="12"/>
      <c r="I28" s="3"/>
      <c r="J28" s="3"/>
    </row>
    <row r="29" spans="1:10">
      <c r="A29" s="11"/>
      <c r="B29" s="11"/>
      <c r="C29" s="11"/>
      <c r="D29" s="3"/>
      <c r="E29" s="3"/>
      <c r="F29" s="3"/>
      <c r="G29" s="3"/>
      <c r="H29" s="12"/>
      <c r="I29" s="3"/>
      <c r="J29" s="3"/>
    </row>
    <row r="30" spans="1:10">
      <c r="A30" s="11"/>
      <c r="B30" s="11"/>
      <c r="C30" s="11"/>
      <c r="D30" s="3"/>
      <c r="E30" s="3"/>
      <c r="F30" s="3"/>
      <c r="G30" s="3"/>
      <c r="H30" s="12"/>
      <c r="I30" s="3"/>
      <c r="J30" s="3"/>
    </row>
    <row r="31" spans="1:10">
      <c r="A31" s="11"/>
      <c r="B31" s="11"/>
      <c r="C31" s="11"/>
      <c r="D31" s="3"/>
      <c r="E31" s="3"/>
      <c r="F31" s="3"/>
      <c r="G31" s="3"/>
      <c r="H31" s="12"/>
      <c r="I31" s="3"/>
      <c r="J31" s="3"/>
    </row>
    <row r="32" spans="1:10">
      <c r="A32" s="11"/>
      <c r="B32" s="11"/>
      <c r="C32" s="11"/>
      <c r="D32" s="3"/>
      <c r="E32" s="3"/>
      <c r="F32" s="3"/>
      <c r="G32" s="3"/>
      <c r="H32" s="12"/>
      <c r="I32" s="3"/>
      <c r="J32" s="3"/>
    </row>
    <row r="33" spans="1:10">
      <c r="A33" s="11"/>
      <c r="B33" s="11"/>
      <c r="C33" s="11"/>
      <c r="D33" s="3"/>
      <c r="E33" s="3"/>
      <c r="F33" s="3"/>
      <c r="G33" s="3"/>
      <c r="H33" s="12"/>
      <c r="I33" s="3"/>
      <c r="J33" s="3"/>
    </row>
  </sheetData>
  <mergeCells count="1">
    <mergeCell ref="A1:J1"/>
  </mergeCells>
  <conditionalFormatting sqref="G4:G33">
    <cfRule type="expression" dxfId="0" priority="1">
      <formula>G4="Completed"</formula>
    </cfRule>
    <cfRule type="expression" dxfId="1" priority="2">
      <formula>G4="Blocked"</formula>
    </cfRule>
  </conditionalFormatting>
  <conditionalFormatting sqref="H4:H33">
    <cfRule type="dataBar" priority="3">
      <dataBar>
        <cfvo type="min"/>
        <cfvo type="max"/>
        <color rgb="FFA02B93"/>
      </dataBar>
      <extLst>
        <ext xmlns:x14="http://schemas.microsoft.com/office/spreadsheetml/2009/9/main" uri="{B025F937-C7B1-47D3-B67F-A62EFF666E3E}">
          <x14:id>{81c89463-faaf-4434-a0c3-53b8e1c05cc7}</x14:id>
        </ext>
      </extLst>
    </cfRule>
  </conditionalFormatting>
  <dataValidations count="1">
    <dataValidation type="list" sqref="G4:G33">
      <formula1>"Not Started,In Progress,Completed,Blocked"</formula1>
    </dataValidation>
  </dataValidations>
  <hyperlinks>
    <hyperlink ref="I7" r:id="rId1" display="https://drive.google.com/file/d/1zymVeBIBddz3-NPUaYL9fXgwnM-0U4Tq/view?usp=sharing" tooltip="https://drive.google.com/file/d/1zymVeBIBddz3-NPUaYL9fXgwnM-0U4Tq/view?usp=sharing"/>
    <hyperlink ref="I4" r:id="rId2" display="https://drive.google.com/file/d/1WBh-Hiv2V74NSPv8v9fl7C-p25Q1AU0S/view?usp=sharing" tooltip="https://drive.google.com/file/d/1WBh-Hiv2V74NSPv8v9fl7C-p25Q1AU0S/view?usp=sharing"/>
    <hyperlink ref="I5" r:id="rId3" display="https://drive.google.com/file/d/13mRYru-zK5hlS8O_3QRGihbv6UpAHD_3/view?usp=sharing" tooltip="https://drive.google.com/file/d/13mRYru-zK5hlS8O_3QRGihbv6UpAHD_3/view?usp=sharing"/>
    <hyperlink ref="I6" r:id="rId4" display="https://drive.google.com/file/d/1RCdWsGNttKu3tlA8mCnbEmuzx2rV7G06/view?usp=sharing" tooltip="https://drive.google.com/file/d/1RCdWsGNttKu3tlA8mCnbEmuzx2rV7G06/view?usp=sharing"/>
    <hyperlink ref="I14" r:id="rId5" display="https://github.com/HlungwaneB/PTO-Management-System.git "/>
    <hyperlink ref="I8" r:id="rId6" display="https://tinyurl.com/48anbe67&#10;"/>
    <hyperlink ref="I10" r:id="rId7" display="https://www.figma.com/design/hF3g70wiKh3NJvoP6Dmpen/Untitled?node-id=0-1&amp;p=f&amp;t=jQzNewh1hYUo0MM9-0"/>
    <hyperlink ref="I9" r:id="rId7" display="https://www.figma.com/design/hF3g70wiKh3NJvoP6Dmpen/Untitled?node-id=0-1&amp;p=f&amp;t=jQzNewh1hYUo0MM9-0"/>
    <hyperlink ref="I13" r:id="rId8" display="https://drive.google.com/file/d/1Uo5sqDHVdWggDIMcEA_ooj2hw8hdq9Bg/view?usp=sharing"/>
  </hyperlinks>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81c89463-faaf-4434-a0c3-53b8e1c05cc7}">
            <x14:dataBar minLength="10" maxLength="90" negativeBarColorSameAsPositive="1">
              <x14:cfvo type="min"/>
              <x14:cfvo type="max"/>
              <x14:axisColor indexed="65"/>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tabSelected="1" topLeftCell="C1" workbookViewId="0">
      <selection activeCell="F9" sqref="F9"/>
    </sheetView>
  </sheetViews>
  <sheetFormatPr defaultColWidth="9" defaultRowHeight="13.8"/>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ht="34" customHeight="1" spans="1:12">
      <c r="A1" s="1" t="s">
        <v>132</v>
      </c>
      <c r="B1" s="1"/>
      <c r="C1" s="1"/>
      <c r="D1" s="1"/>
      <c r="E1" s="1"/>
      <c r="F1" s="1"/>
      <c r="G1" s="1"/>
      <c r="H1" s="1"/>
      <c r="I1" s="1"/>
      <c r="J1" s="1"/>
      <c r="K1" s="1"/>
      <c r="L1" s="1"/>
    </row>
    <row r="3" ht="30" customHeight="1" spans="1:12">
      <c r="A3" s="6" t="s">
        <v>133</v>
      </c>
      <c r="B3" s="6" t="s">
        <v>134</v>
      </c>
      <c r="C3" s="6" t="s">
        <v>135</v>
      </c>
      <c r="D3" s="6" t="s">
        <v>136</v>
      </c>
      <c r="E3" s="6" t="s">
        <v>137</v>
      </c>
      <c r="F3" s="6" t="s">
        <v>138</v>
      </c>
      <c r="G3" s="6" t="s">
        <v>139</v>
      </c>
      <c r="H3" s="6" t="s">
        <v>61</v>
      </c>
      <c r="I3" s="6" t="s">
        <v>140</v>
      </c>
      <c r="J3" s="6" t="s">
        <v>141</v>
      </c>
      <c r="K3" s="6" t="s">
        <v>142</v>
      </c>
      <c r="L3" s="6" t="s">
        <v>143</v>
      </c>
    </row>
    <row r="4" ht="41.4" spans="1:12">
      <c r="A4" s="3" t="s">
        <v>40</v>
      </c>
      <c r="B4" s="3">
        <v>224022767</v>
      </c>
      <c r="C4" s="3" t="s">
        <v>144</v>
      </c>
      <c r="D4" s="3" t="s">
        <v>145</v>
      </c>
      <c r="E4" s="3" t="s">
        <v>146</v>
      </c>
      <c r="F4" s="7">
        <v>46336</v>
      </c>
      <c r="G4" s="3" t="s">
        <v>147</v>
      </c>
      <c r="H4" s="8" t="s">
        <v>45</v>
      </c>
      <c r="I4" s="3" t="s">
        <v>148</v>
      </c>
      <c r="J4" s="7">
        <v>46366</v>
      </c>
      <c r="K4" s="3" t="s">
        <v>149</v>
      </c>
      <c r="L4" s="3" t="s">
        <v>38</v>
      </c>
    </row>
    <row r="5" ht="55.2" spans="1:12">
      <c r="A5" s="3" t="s">
        <v>150</v>
      </c>
      <c r="B5" s="3">
        <v>224113476</v>
      </c>
      <c r="C5" s="3" t="s">
        <v>151</v>
      </c>
      <c r="D5" s="3" t="s">
        <v>152</v>
      </c>
      <c r="E5" s="3" t="s">
        <v>153</v>
      </c>
      <c r="F5" s="7">
        <v>46366</v>
      </c>
      <c r="G5" s="3" t="s">
        <v>154</v>
      </c>
      <c r="H5" s="3"/>
      <c r="I5" s="3" t="s">
        <v>148</v>
      </c>
      <c r="J5" s="7" t="s">
        <v>48</v>
      </c>
      <c r="K5" s="3" t="s">
        <v>155</v>
      </c>
      <c r="L5" s="3" t="s">
        <v>38</v>
      </c>
    </row>
    <row r="6" ht="55.2" spans="1:12">
      <c r="A6" s="3" t="s">
        <v>156</v>
      </c>
      <c r="B6" s="3">
        <v>224124772</v>
      </c>
      <c r="C6" s="3" t="s">
        <v>157</v>
      </c>
      <c r="D6" s="3" t="s">
        <v>158</v>
      </c>
      <c r="E6" s="3" t="s">
        <v>159</v>
      </c>
      <c r="F6" s="3" t="s">
        <v>68</v>
      </c>
      <c r="G6" s="3" t="s">
        <v>160</v>
      </c>
      <c r="H6" s="8" t="s">
        <v>69</v>
      </c>
      <c r="I6" s="3" t="s">
        <v>148</v>
      </c>
      <c r="J6" s="7" t="s">
        <v>48</v>
      </c>
      <c r="K6" s="3" t="s">
        <v>161</v>
      </c>
      <c r="L6" s="3" t="s">
        <v>38</v>
      </c>
    </row>
    <row r="7" ht="43.2" spans="1:12">
      <c r="A7" s="3" t="s">
        <v>162</v>
      </c>
      <c r="B7" s="3">
        <v>224015143</v>
      </c>
      <c r="C7" s="3" t="s">
        <v>163</v>
      </c>
      <c r="D7" s="3" t="s">
        <v>164</v>
      </c>
      <c r="E7" s="3" t="s">
        <v>165</v>
      </c>
      <c r="F7" s="7">
        <v>46063</v>
      </c>
      <c r="G7" s="3" t="s">
        <v>154</v>
      </c>
      <c r="H7" s="8" t="s">
        <v>76</v>
      </c>
      <c r="I7" s="3" t="s">
        <v>148</v>
      </c>
      <c r="J7" s="7" t="s">
        <v>48</v>
      </c>
      <c r="K7" s="3" t="s">
        <v>166</v>
      </c>
      <c r="L7" s="3" t="s">
        <v>38</v>
      </c>
    </row>
    <row r="8" ht="69" spans="1:12">
      <c r="A8" s="3" t="s">
        <v>167</v>
      </c>
      <c r="B8" s="3">
        <v>224073925</v>
      </c>
      <c r="C8" s="3" t="s">
        <v>168</v>
      </c>
      <c r="D8" s="3" t="s">
        <v>169</v>
      </c>
      <c r="E8" s="3" t="s">
        <v>170</v>
      </c>
      <c r="F8" s="7">
        <v>46063</v>
      </c>
      <c r="G8" s="3" t="s">
        <v>147</v>
      </c>
      <c r="H8" s="9" t="s">
        <v>171</v>
      </c>
      <c r="I8" s="3" t="s">
        <v>148</v>
      </c>
      <c r="J8" s="7" t="s">
        <v>48</v>
      </c>
      <c r="K8" s="3" t="s">
        <v>172</v>
      </c>
      <c r="L8" s="3" t="s">
        <v>38</v>
      </c>
    </row>
    <row r="9" ht="96.6" spans="1:12">
      <c r="A9" s="3" t="s">
        <v>173</v>
      </c>
      <c r="B9" s="3">
        <v>223059218</v>
      </c>
      <c r="C9" s="3" t="s">
        <v>174</v>
      </c>
      <c r="D9" s="3" t="s">
        <v>175</v>
      </c>
      <c r="E9" s="3" t="s">
        <v>176</v>
      </c>
      <c r="F9" s="7">
        <v>46275</v>
      </c>
      <c r="G9" s="3" t="s">
        <v>177</v>
      </c>
      <c r="H9" s="8" t="s">
        <v>178</v>
      </c>
      <c r="I9" s="3" t="s">
        <v>148</v>
      </c>
      <c r="J9" s="7" t="s">
        <v>48</v>
      </c>
      <c r="K9" s="3" t="s">
        <v>179</v>
      </c>
      <c r="L9" s="3" t="s">
        <v>38</v>
      </c>
    </row>
    <row r="10" spans="1:12">
      <c r="A10" s="3" t="s">
        <v>27</v>
      </c>
      <c r="B10" s="3" t="s">
        <v>27</v>
      </c>
      <c r="C10" s="3" t="s">
        <v>27</v>
      </c>
      <c r="D10" s="3" t="s">
        <v>27</v>
      </c>
      <c r="E10" s="3" t="s">
        <v>27</v>
      </c>
      <c r="F10" s="3" t="s">
        <v>27</v>
      </c>
      <c r="G10" s="3" t="s">
        <v>27</v>
      </c>
      <c r="H10" s="3" t="s">
        <v>27</v>
      </c>
      <c r="I10" s="3" t="s">
        <v>180</v>
      </c>
      <c r="J10" s="3" t="s">
        <v>27</v>
      </c>
      <c r="K10" s="3" t="s">
        <v>27</v>
      </c>
      <c r="L10" s="3" t="s">
        <v>181</v>
      </c>
    </row>
    <row r="11" spans="1:12">
      <c r="A11" s="3" t="s">
        <v>27</v>
      </c>
      <c r="B11" s="3" t="s">
        <v>27</v>
      </c>
      <c r="C11" s="3" t="s">
        <v>27</v>
      </c>
      <c r="D11" s="3" t="s">
        <v>27</v>
      </c>
      <c r="E11" s="3" t="s">
        <v>27</v>
      </c>
      <c r="F11" s="3" t="s">
        <v>27</v>
      </c>
      <c r="G11" s="3" t="s">
        <v>27</v>
      </c>
      <c r="H11" s="3" t="s">
        <v>27</v>
      </c>
      <c r="I11" s="3" t="s">
        <v>180</v>
      </c>
      <c r="J11" s="3" t="s">
        <v>27</v>
      </c>
      <c r="K11" s="3" t="s">
        <v>27</v>
      </c>
      <c r="L11" s="3" t="s">
        <v>181</v>
      </c>
    </row>
    <row r="12" spans="1:12">
      <c r="A12" s="3" t="s">
        <v>27</v>
      </c>
      <c r="B12" s="3" t="s">
        <v>27</v>
      </c>
      <c r="C12" s="3" t="s">
        <v>27</v>
      </c>
      <c r="D12" s="3" t="s">
        <v>27</v>
      </c>
      <c r="E12" s="3" t="s">
        <v>27</v>
      </c>
      <c r="F12" s="3" t="s">
        <v>27</v>
      </c>
      <c r="G12" s="3" t="s">
        <v>27</v>
      </c>
      <c r="H12" s="3" t="s">
        <v>27</v>
      </c>
      <c r="I12" s="3" t="s">
        <v>180</v>
      </c>
      <c r="J12" s="3" t="s">
        <v>27</v>
      </c>
      <c r="K12" s="3" t="s">
        <v>27</v>
      </c>
      <c r="L12" s="3" t="s">
        <v>181</v>
      </c>
    </row>
    <row r="13" spans="1:12">
      <c r="A13" s="3" t="s">
        <v>27</v>
      </c>
      <c r="B13" s="3" t="s">
        <v>27</v>
      </c>
      <c r="C13" s="3" t="s">
        <v>27</v>
      </c>
      <c r="D13" s="3" t="s">
        <v>27</v>
      </c>
      <c r="E13" s="3" t="s">
        <v>27</v>
      </c>
      <c r="F13" s="3" t="s">
        <v>27</v>
      </c>
      <c r="G13" s="3" t="s">
        <v>27</v>
      </c>
      <c r="H13" s="3" t="s">
        <v>27</v>
      </c>
      <c r="I13" s="3" t="s">
        <v>180</v>
      </c>
      <c r="J13" s="3" t="s">
        <v>27</v>
      </c>
      <c r="K13" s="3" t="s">
        <v>27</v>
      </c>
      <c r="L13" s="3" t="s">
        <v>181</v>
      </c>
    </row>
    <row r="14" spans="1:12">
      <c r="A14" s="3" t="s">
        <v>27</v>
      </c>
      <c r="B14" s="3" t="s">
        <v>27</v>
      </c>
      <c r="C14" s="3" t="s">
        <v>27</v>
      </c>
      <c r="D14" s="3" t="s">
        <v>27</v>
      </c>
      <c r="E14" s="3" t="s">
        <v>27</v>
      </c>
      <c r="F14" s="3" t="s">
        <v>27</v>
      </c>
      <c r="G14" s="3" t="s">
        <v>27</v>
      </c>
      <c r="H14" s="3" t="s">
        <v>27</v>
      </c>
      <c r="I14" s="3" t="s">
        <v>180</v>
      </c>
      <c r="J14" s="3" t="s">
        <v>27</v>
      </c>
      <c r="K14" s="3" t="s">
        <v>27</v>
      </c>
      <c r="L14" s="3" t="s">
        <v>181</v>
      </c>
    </row>
    <row r="15" spans="1:12">
      <c r="A15" s="3" t="s">
        <v>27</v>
      </c>
      <c r="B15" s="3" t="s">
        <v>27</v>
      </c>
      <c r="C15" s="3" t="s">
        <v>27</v>
      </c>
      <c r="D15" s="3" t="s">
        <v>27</v>
      </c>
      <c r="E15" s="3" t="s">
        <v>27</v>
      </c>
      <c r="F15" s="3" t="s">
        <v>27</v>
      </c>
      <c r="G15" s="3" t="s">
        <v>27</v>
      </c>
      <c r="H15" s="3" t="s">
        <v>27</v>
      </c>
      <c r="I15" s="3" t="s">
        <v>180</v>
      </c>
      <c r="J15" s="3" t="s">
        <v>27</v>
      </c>
      <c r="K15" s="3" t="s">
        <v>27</v>
      </c>
      <c r="L15" s="3" t="s">
        <v>181</v>
      </c>
    </row>
    <row r="16" spans="1:12">
      <c r="A16" s="3" t="s">
        <v>27</v>
      </c>
      <c r="B16" s="3" t="s">
        <v>27</v>
      </c>
      <c r="C16" s="3" t="s">
        <v>27</v>
      </c>
      <c r="D16" s="3" t="s">
        <v>27</v>
      </c>
      <c r="E16" s="3" t="s">
        <v>27</v>
      </c>
      <c r="F16" s="3" t="s">
        <v>27</v>
      </c>
      <c r="G16" s="3" t="s">
        <v>27</v>
      </c>
      <c r="H16" s="3" t="s">
        <v>27</v>
      </c>
      <c r="I16" s="3" t="s">
        <v>180</v>
      </c>
      <c r="J16" s="3" t="s">
        <v>27</v>
      </c>
      <c r="K16" s="3" t="s">
        <v>27</v>
      </c>
      <c r="L16" s="3" t="s">
        <v>181</v>
      </c>
    </row>
    <row r="17" spans="1:12">
      <c r="A17" s="3" t="s">
        <v>27</v>
      </c>
      <c r="B17" s="3" t="s">
        <v>27</v>
      </c>
      <c r="C17" s="3" t="s">
        <v>27</v>
      </c>
      <c r="D17" s="3" t="s">
        <v>27</v>
      </c>
      <c r="E17" s="3" t="s">
        <v>27</v>
      </c>
      <c r="F17" s="3" t="s">
        <v>27</v>
      </c>
      <c r="G17" s="3" t="s">
        <v>27</v>
      </c>
      <c r="H17" s="3" t="s">
        <v>27</v>
      </c>
      <c r="I17" s="3" t="s">
        <v>180</v>
      </c>
      <c r="J17" s="3" t="s">
        <v>27</v>
      </c>
      <c r="K17" s="3" t="s">
        <v>27</v>
      </c>
      <c r="L17" s="3" t="s">
        <v>181</v>
      </c>
    </row>
    <row r="18" spans="1:12">
      <c r="A18" s="3" t="s">
        <v>27</v>
      </c>
      <c r="B18" s="3" t="s">
        <v>27</v>
      </c>
      <c r="C18" s="3" t="s">
        <v>27</v>
      </c>
      <c r="D18" s="3" t="s">
        <v>27</v>
      </c>
      <c r="E18" s="3" t="s">
        <v>27</v>
      </c>
      <c r="F18" s="3" t="s">
        <v>27</v>
      </c>
      <c r="G18" s="3" t="s">
        <v>27</v>
      </c>
      <c r="H18" s="3" t="s">
        <v>27</v>
      </c>
      <c r="I18" s="3" t="s">
        <v>180</v>
      </c>
      <c r="J18" s="3" t="s">
        <v>27</v>
      </c>
      <c r="K18" s="3" t="s">
        <v>27</v>
      </c>
      <c r="L18" s="3" t="s">
        <v>181</v>
      </c>
    </row>
    <row r="19" spans="1:12">
      <c r="A19" s="3" t="s">
        <v>27</v>
      </c>
      <c r="B19" s="3" t="s">
        <v>27</v>
      </c>
      <c r="C19" s="3" t="s">
        <v>27</v>
      </c>
      <c r="D19" s="3" t="s">
        <v>27</v>
      </c>
      <c r="E19" s="3" t="s">
        <v>27</v>
      </c>
      <c r="F19" s="3" t="s">
        <v>27</v>
      </c>
      <c r="G19" s="3" t="s">
        <v>27</v>
      </c>
      <c r="H19" s="3" t="s">
        <v>27</v>
      </c>
      <c r="I19" s="3" t="s">
        <v>180</v>
      </c>
      <c r="J19" s="3" t="s">
        <v>27</v>
      </c>
      <c r="K19" s="3" t="s">
        <v>27</v>
      </c>
      <c r="L19" s="3" t="s">
        <v>181</v>
      </c>
    </row>
    <row r="20" spans="1:12">
      <c r="A20" s="3" t="s">
        <v>27</v>
      </c>
      <c r="B20" s="3" t="s">
        <v>27</v>
      </c>
      <c r="C20" s="3" t="s">
        <v>27</v>
      </c>
      <c r="D20" s="3" t="s">
        <v>27</v>
      </c>
      <c r="E20" s="3" t="s">
        <v>27</v>
      </c>
      <c r="F20" s="3" t="s">
        <v>27</v>
      </c>
      <c r="G20" s="3" t="s">
        <v>27</v>
      </c>
      <c r="H20" s="3" t="s">
        <v>27</v>
      </c>
      <c r="I20" s="3" t="s">
        <v>180</v>
      </c>
      <c r="J20" s="3" t="s">
        <v>27</v>
      </c>
      <c r="K20" s="3" t="s">
        <v>27</v>
      </c>
      <c r="L20" s="3" t="s">
        <v>181</v>
      </c>
    </row>
    <row r="21" spans="1:12">
      <c r="A21" s="3" t="s">
        <v>27</v>
      </c>
      <c r="B21" s="3" t="s">
        <v>27</v>
      </c>
      <c r="C21" s="3" t="s">
        <v>27</v>
      </c>
      <c r="D21" s="3" t="s">
        <v>27</v>
      </c>
      <c r="E21" s="3" t="s">
        <v>27</v>
      </c>
      <c r="F21" s="3" t="s">
        <v>27</v>
      </c>
      <c r="G21" s="3" t="s">
        <v>27</v>
      </c>
      <c r="H21" s="3" t="s">
        <v>27</v>
      </c>
      <c r="I21" s="3" t="s">
        <v>180</v>
      </c>
      <c r="J21" s="3" t="s">
        <v>27</v>
      </c>
      <c r="K21" s="3" t="s">
        <v>27</v>
      </c>
      <c r="L21" s="3" t="s">
        <v>181</v>
      </c>
    </row>
    <row r="22" spans="1:12">
      <c r="A22" s="3" t="s">
        <v>27</v>
      </c>
      <c r="B22" s="3" t="s">
        <v>27</v>
      </c>
      <c r="C22" s="3" t="s">
        <v>27</v>
      </c>
      <c r="D22" s="3" t="s">
        <v>27</v>
      </c>
      <c r="E22" s="3" t="s">
        <v>27</v>
      </c>
      <c r="F22" s="3" t="s">
        <v>27</v>
      </c>
      <c r="G22" s="3" t="s">
        <v>27</v>
      </c>
      <c r="H22" s="3" t="s">
        <v>27</v>
      </c>
      <c r="I22" s="3" t="s">
        <v>180</v>
      </c>
      <c r="J22" s="3" t="s">
        <v>27</v>
      </c>
      <c r="K22" s="3" t="s">
        <v>27</v>
      </c>
      <c r="L22" s="3" t="s">
        <v>181</v>
      </c>
    </row>
    <row r="23" spans="1:12">
      <c r="A23" s="3" t="s">
        <v>27</v>
      </c>
      <c r="B23" s="3" t="s">
        <v>27</v>
      </c>
      <c r="C23" s="3" t="s">
        <v>27</v>
      </c>
      <c r="D23" s="3" t="s">
        <v>27</v>
      </c>
      <c r="E23" s="3" t="s">
        <v>27</v>
      </c>
      <c r="F23" s="3" t="s">
        <v>27</v>
      </c>
      <c r="G23" s="3" t="s">
        <v>27</v>
      </c>
      <c r="H23" s="3" t="s">
        <v>27</v>
      </c>
      <c r="I23" s="3" t="s">
        <v>180</v>
      </c>
      <c r="J23" s="3" t="s">
        <v>27</v>
      </c>
      <c r="K23" s="3" t="s">
        <v>27</v>
      </c>
      <c r="L23" s="3" t="s">
        <v>181</v>
      </c>
    </row>
    <row r="24" spans="1:12">
      <c r="A24" s="3" t="s">
        <v>27</v>
      </c>
      <c r="B24" s="3" t="s">
        <v>27</v>
      </c>
      <c r="C24" s="3" t="s">
        <v>27</v>
      </c>
      <c r="D24" s="3" t="s">
        <v>27</v>
      </c>
      <c r="E24" s="3" t="s">
        <v>27</v>
      </c>
      <c r="F24" s="3" t="s">
        <v>27</v>
      </c>
      <c r="G24" s="3" t="s">
        <v>27</v>
      </c>
      <c r="H24" s="3" t="s">
        <v>27</v>
      </c>
      <c r="I24" s="3" t="s">
        <v>180</v>
      </c>
      <c r="J24" s="3" t="s">
        <v>27</v>
      </c>
      <c r="K24" s="3" t="s">
        <v>27</v>
      </c>
      <c r="L24" s="3" t="s">
        <v>181</v>
      </c>
    </row>
    <row r="25" spans="1:12">
      <c r="A25" s="3" t="s">
        <v>27</v>
      </c>
      <c r="B25" s="3" t="s">
        <v>27</v>
      </c>
      <c r="C25" s="3" t="s">
        <v>27</v>
      </c>
      <c r="D25" s="3" t="s">
        <v>27</v>
      </c>
      <c r="E25" s="3" t="s">
        <v>27</v>
      </c>
      <c r="F25" s="3" t="s">
        <v>27</v>
      </c>
      <c r="G25" s="3" t="s">
        <v>27</v>
      </c>
      <c r="H25" s="3" t="s">
        <v>27</v>
      </c>
      <c r="I25" s="3" t="s">
        <v>180</v>
      </c>
      <c r="J25" s="3" t="s">
        <v>27</v>
      </c>
      <c r="K25" s="3" t="s">
        <v>27</v>
      </c>
      <c r="L25" s="3" t="s">
        <v>181</v>
      </c>
    </row>
    <row r="26" spans="1:12">
      <c r="A26" s="3" t="s">
        <v>27</v>
      </c>
      <c r="B26" s="3" t="s">
        <v>27</v>
      </c>
      <c r="C26" s="3" t="s">
        <v>27</v>
      </c>
      <c r="D26" s="3" t="s">
        <v>27</v>
      </c>
      <c r="E26" s="3" t="s">
        <v>27</v>
      </c>
      <c r="F26" s="3" t="s">
        <v>27</v>
      </c>
      <c r="G26" s="3" t="s">
        <v>27</v>
      </c>
      <c r="H26" s="3" t="s">
        <v>27</v>
      </c>
      <c r="I26" s="3" t="s">
        <v>180</v>
      </c>
      <c r="J26" s="3" t="s">
        <v>27</v>
      </c>
      <c r="K26" s="3" t="s">
        <v>27</v>
      </c>
      <c r="L26" s="3" t="s">
        <v>181</v>
      </c>
    </row>
    <row r="27" spans="1:12">
      <c r="A27" s="3" t="s">
        <v>27</v>
      </c>
      <c r="B27" s="3" t="s">
        <v>27</v>
      </c>
      <c r="C27" s="3" t="s">
        <v>27</v>
      </c>
      <c r="D27" s="3" t="s">
        <v>27</v>
      </c>
      <c r="E27" s="3" t="s">
        <v>27</v>
      </c>
      <c r="F27" s="3" t="s">
        <v>27</v>
      </c>
      <c r="G27" s="3" t="s">
        <v>27</v>
      </c>
      <c r="H27" s="3" t="s">
        <v>27</v>
      </c>
      <c r="I27" s="3" t="s">
        <v>180</v>
      </c>
      <c r="J27" s="3" t="s">
        <v>27</v>
      </c>
      <c r="K27" s="3" t="s">
        <v>27</v>
      </c>
      <c r="L27" s="3" t="s">
        <v>181</v>
      </c>
    </row>
    <row r="28" spans="1:12">
      <c r="A28" s="3" t="s">
        <v>27</v>
      </c>
      <c r="B28" s="3" t="s">
        <v>27</v>
      </c>
      <c r="C28" s="3" t="s">
        <v>27</v>
      </c>
      <c r="D28" s="3" t="s">
        <v>27</v>
      </c>
      <c r="E28" s="3" t="s">
        <v>27</v>
      </c>
      <c r="F28" s="3" t="s">
        <v>27</v>
      </c>
      <c r="G28" s="3" t="s">
        <v>27</v>
      </c>
      <c r="H28" s="3" t="s">
        <v>27</v>
      </c>
      <c r="I28" s="3" t="s">
        <v>180</v>
      </c>
      <c r="J28" s="3" t="s">
        <v>27</v>
      </c>
      <c r="K28" s="3" t="s">
        <v>27</v>
      </c>
      <c r="L28" s="3" t="s">
        <v>181</v>
      </c>
    </row>
    <row r="29" spans="1:12">
      <c r="A29" s="3" t="s">
        <v>27</v>
      </c>
      <c r="B29" s="3" t="s">
        <v>27</v>
      </c>
      <c r="C29" s="3" t="s">
        <v>27</v>
      </c>
      <c r="D29" s="3" t="s">
        <v>27</v>
      </c>
      <c r="E29" s="3" t="s">
        <v>27</v>
      </c>
      <c r="F29" s="3" t="s">
        <v>27</v>
      </c>
      <c r="G29" s="3" t="s">
        <v>27</v>
      </c>
      <c r="H29" s="3" t="s">
        <v>27</v>
      </c>
      <c r="I29" s="3" t="s">
        <v>180</v>
      </c>
      <c r="J29" s="3" t="s">
        <v>27</v>
      </c>
      <c r="K29" s="3" t="s">
        <v>27</v>
      </c>
      <c r="L29" s="3" t="s">
        <v>181</v>
      </c>
    </row>
    <row r="30" spans="1:12">
      <c r="A30" s="3" t="s">
        <v>27</v>
      </c>
      <c r="B30" s="3" t="s">
        <v>27</v>
      </c>
      <c r="C30" s="3" t="s">
        <v>27</v>
      </c>
      <c r="D30" s="3" t="s">
        <v>27</v>
      </c>
      <c r="E30" s="3" t="s">
        <v>27</v>
      </c>
      <c r="F30" s="3" t="s">
        <v>27</v>
      </c>
      <c r="G30" s="3" t="s">
        <v>27</v>
      </c>
      <c r="H30" s="3" t="s">
        <v>27</v>
      </c>
      <c r="I30" s="3" t="s">
        <v>180</v>
      </c>
      <c r="J30" s="3" t="s">
        <v>27</v>
      </c>
      <c r="K30" s="3" t="s">
        <v>27</v>
      </c>
      <c r="L30" s="3" t="s">
        <v>181</v>
      </c>
    </row>
    <row r="31" spans="1:12">
      <c r="A31" s="3" t="s">
        <v>27</v>
      </c>
      <c r="B31" s="3" t="s">
        <v>27</v>
      </c>
      <c r="C31" s="3" t="s">
        <v>27</v>
      </c>
      <c r="D31" s="3" t="s">
        <v>27</v>
      </c>
      <c r="E31" s="3" t="s">
        <v>27</v>
      </c>
      <c r="F31" s="3" t="s">
        <v>27</v>
      </c>
      <c r="G31" s="3" t="s">
        <v>27</v>
      </c>
      <c r="H31" s="3" t="s">
        <v>27</v>
      </c>
      <c r="I31" s="3" t="s">
        <v>180</v>
      </c>
      <c r="J31" s="3" t="s">
        <v>27</v>
      </c>
      <c r="K31" s="3" t="s">
        <v>27</v>
      </c>
      <c r="L31" s="3" t="s">
        <v>181</v>
      </c>
    </row>
    <row r="32" spans="1:12">
      <c r="A32" s="3" t="s">
        <v>27</v>
      </c>
      <c r="B32" s="3" t="s">
        <v>27</v>
      </c>
      <c r="C32" s="3" t="s">
        <v>27</v>
      </c>
      <c r="D32" s="3" t="s">
        <v>27</v>
      </c>
      <c r="E32" s="3" t="s">
        <v>27</v>
      </c>
      <c r="F32" s="3" t="s">
        <v>27</v>
      </c>
      <c r="G32" s="3" t="s">
        <v>27</v>
      </c>
      <c r="H32" s="3" t="s">
        <v>27</v>
      </c>
      <c r="I32" s="3" t="s">
        <v>180</v>
      </c>
      <c r="J32" s="3" t="s">
        <v>27</v>
      </c>
      <c r="K32" s="3" t="s">
        <v>27</v>
      </c>
      <c r="L32" s="3" t="s">
        <v>181</v>
      </c>
    </row>
    <row r="33" spans="1:12">
      <c r="A33" s="3" t="s">
        <v>27</v>
      </c>
      <c r="B33" s="3" t="s">
        <v>27</v>
      </c>
      <c r="C33" s="3" t="s">
        <v>27</v>
      </c>
      <c r="D33" s="3" t="s">
        <v>27</v>
      </c>
      <c r="E33" s="3" t="s">
        <v>27</v>
      </c>
      <c r="F33" s="3" t="s">
        <v>27</v>
      </c>
      <c r="G33" s="3" t="s">
        <v>27</v>
      </c>
      <c r="H33" s="3" t="s">
        <v>27</v>
      </c>
      <c r="I33" s="3" t="s">
        <v>180</v>
      </c>
      <c r="J33" s="3" t="s">
        <v>27</v>
      </c>
      <c r="K33" s="3" t="s">
        <v>27</v>
      </c>
      <c r="L33" s="3" t="s">
        <v>181</v>
      </c>
    </row>
    <row r="34" spans="1:12">
      <c r="A34" s="3" t="s">
        <v>27</v>
      </c>
      <c r="B34" s="3" t="s">
        <v>27</v>
      </c>
      <c r="C34" s="3" t="s">
        <v>27</v>
      </c>
      <c r="D34" s="3" t="s">
        <v>27</v>
      </c>
      <c r="E34" s="3" t="s">
        <v>27</v>
      </c>
      <c r="F34" s="3" t="s">
        <v>27</v>
      </c>
      <c r="G34" s="3" t="s">
        <v>27</v>
      </c>
      <c r="H34" s="3" t="s">
        <v>27</v>
      </c>
      <c r="I34" s="3" t="s">
        <v>180</v>
      </c>
      <c r="J34" s="3" t="s">
        <v>27</v>
      </c>
      <c r="K34" s="3" t="s">
        <v>27</v>
      </c>
      <c r="L34" s="3" t="s">
        <v>181</v>
      </c>
    </row>
    <row r="35" spans="1:12">
      <c r="A35" s="3" t="s">
        <v>27</v>
      </c>
      <c r="B35" s="3" t="s">
        <v>27</v>
      </c>
      <c r="C35" s="3" t="s">
        <v>27</v>
      </c>
      <c r="D35" s="3" t="s">
        <v>27</v>
      </c>
      <c r="E35" s="3" t="s">
        <v>27</v>
      </c>
      <c r="F35" s="3" t="s">
        <v>27</v>
      </c>
      <c r="G35" s="3" t="s">
        <v>27</v>
      </c>
      <c r="H35" s="3" t="s">
        <v>27</v>
      </c>
      <c r="I35" s="3" t="s">
        <v>180</v>
      </c>
      <c r="J35" s="3" t="s">
        <v>27</v>
      </c>
      <c r="K35" s="3" t="s">
        <v>27</v>
      </c>
      <c r="L35" s="3" t="s">
        <v>181</v>
      </c>
    </row>
    <row r="36" spans="1:12">
      <c r="A36" s="3" t="s">
        <v>27</v>
      </c>
      <c r="B36" s="3" t="s">
        <v>27</v>
      </c>
      <c r="C36" s="3" t="s">
        <v>27</v>
      </c>
      <c r="D36" s="3" t="s">
        <v>27</v>
      </c>
      <c r="E36" s="3" t="s">
        <v>27</v>
      </c>
      <c r="F36" s="3" t="s">
        <v>27</v>
      </c>
      <c r="G36" s="3" t="s">
        <v>27</v>
      </c>
      <c r="H36" s="3" t="s">
        <v>27</v>
      </c>
      <c r="I36" s="3" t="s">
        <v>180</v>
      </c>
      <c r="J36" s="3" t="s">
        <v>27</v>
      </c>
      <c r="K36" s="3" t="s">
        <v>27</v>
      </c>
      <c r="L36" s="3" t="s">
        <v>181</v>
      </c>
    </row>
    <row r="37" spans="1:12">
      <c r="A37" s="3" t="s">
        <v>27</v>
      </c>
      <c r="B37" s="3" t="s">
        <v>27</v>
      </c>
      <c r="C37" s="3" t="s">
        <v>27</v>
      </c>
      <c r="D37" s="3" t="s">
        <v>27</v>
      </c>
      <c r="E37" s="3" t="s">
        <v>27</v>
      </c>
      <c r="F37" s="3" t="s">
        <v>27</v>
      </c>
      <c r="G37" s="3" t="s">
        <v>27</v>
      </c>
      <c r="H37" s="3" t="s">
        <v>27</v>
      </c>
      <c r="I37" s="3" t="s">
        <v>180</v>
      </c>
      <c r="J37" s="3" t="s">
        <v>27</v>
      </c>
      <c r="K37" s="3" t="s">
        <v>27</v>
      </c>
      <c r="L37" s="3" t="s">
        <v>181</v>
      </c>
    </row>
    <row r="38" spans="1:12">
      <c r="A38" s="3" t="s">
        <v>27</v>
      </c>
      <c r="B38" s="3" t="s">
        <v>27</v>
      </c>
      <c r="C38" s="3" t="s">
        <v>27</v>
      </c>
      <c r="D38" s="3" t="s">
        <v>27</v>
      </c>
      <c r="E38" s="3" t="s">
        <v>27</v>
      </c>
      <c r="F38" s="3" t="s">
        <v>27</v>
      </c>
      <c r="G38" s="3" t="s">
        <v>27</v>
      </c>
      <c r="H38" s="3" t="s">
        <v>27</v>
      </c>
      <c r="I38" s="3" t="s">
        <v>180</v>
      </c>
      <c r="J38" s="3" t="s">
        <v>27</v>
      </c>
      <c r="K38" s="3" t="s">
        <v>27</v>
      </c>
      <c r="L38" s="3" t="s">
        <v>181</v>
      </c>
    </row>
    <row r="39" spans="1:12">
      <c r="A39" s="3" t="s">
        <v>27</v>
      </c>
      <c r="B39" s="3" t="s">
        <v>27</v>
      </c>
      <c r="C39" s="3" t="s">
        <v>27</v>
      </c>
      <c r="D39" s="3" t="s">
        <v>27</v>
      </c>
      <c r="E39" s="3" t="s">
        <v>27</v>
      </c>
      <c r="F39" s="3" t="s">
        <v>27</v>
      </c>
      <c r="G39" s="3" t="s">
        <v>27</v>
      </c>
      <c r="H39" s="3" t="s">
        <v>27</v>
      </c>
      <c r="I39" s="3" t="s">
        <v>180</v>
      </c>
      <c r="J39" s="3" t="s">
        <v>27</v>
      </c>
      <c r="K39" s="3" t="s">
        <v>27</v>
      </c>
      <c r="L39" s="3" t="s">
        <v>181</v>
      </c>
    </row>
    <row r="40" spans="1:12">
      <c r="A40" s="3" t="s">
        <v>27</v>
      </c>
      <c r="B40" s="3" t="s">
        <v>27</v>
      </c>
      <c r="C40" s="3" t="s">
        <v>27</v>
      </c>
      <c r="D40" s="3" t="s">
        <v>27</v>
      </c>
      <c r="E40" s="3" t="s">
        <v>27</v>
      </c>
      <c r="F40" s="3" t="s">
        <v>27</v>
      </c>
      <c r="G40" s="3" t="s">
        <v>27</v>
      </c>
      <c r="H40" s="3" t="s">
        <v>27</v>
      </c>
      <c r="I40" s="3" t="s">
        <v>180</v>
      </c>
      <c r="J40" s="3" t="s">
        <v>27</v>
      </c>
      <c r="K40" s="3" t="s">
        <v>27</v>
      </c>
      <c r="L40" s="3" t="s">
        <v>181</v>
      </c>
    </row>
    <row r="41" spans="1:12">
      <c r="A41" s="3" t="s">
        <v>27</v>
      </c>
      <c r="B41" s="3" t="s">
        <v>27</v>
      </c>
      <c r="C41" s="3" t="s">
        <v>27</v>
      </c>
      <c r="D41" s="3" t="s">
        <v>27</v>
      </c>
      <c r="E41" s="3" t="s">
        <v>27</v>
      </c>
      <c r="F41" s="3" t="s">
        <v>27</v>
      </c>
      <c r="G41" s="3" t="s">
        <v>27</v>
      </c>
      <c r="H41" s="3" t="s">
        <v>27</v>
      </c>
      <c r="I41" s="3" t="s">
        <v>180</v>
      </c>
      <c r="J41" s="3" t="s">
        <v>27</v>
      </c>
      <c r="K41" s="3" t="s">
        <v>27</v>
      </c>
      <c r="L41" s="3" t="s">
        <v>181</v>
      </c>
    </row>
    <row r="42" spans="1:12">
      <c r="A42" s="3" t="s">
        <v>27</v>
      </c>
      <c r="B42" s="3" t="s">
        <v>27</v>
      </c>
      <c r="C42" s="3" t="s">
        <v>27</v>
      </c>
      <c r="D42" s="3" t="s">
        <v>27</v>
      </c>
      <c r="E42" s="3" t="s">
        <v>27</v>
      </c>
      <c r="F42" s="3" t="s">
        <v>27</v>
      </c>
      <c r="G42" s="3" t="s">
        <v>27</v>
      </c>
      <c r="H42" s="3" t="s">
        <v>27</v>
      </c>
      <c r="I42" s="3" t="s">
        <v>180</v>
      </c>
      <c r="J42" s="3" t="s">
        <v>27</v>
      </c>
      <c r="K42" s="3" t="s">
        <v>27</v>
      </c>
      <c r="L42" s="3" t="s">
        <v>181</v>
      </c>
    </row>
    <row r="43" spans="1:12">
      <c r="A43" s="3" t="s">
        <v>27</v>
      </c>
      <c r="B43" s="3" t="s">
        <v>27</v>
      </c>
      <c r="C43" s="3" t="s">
        <v>27</v>
      </c>
      <c r="D43" s="3" t="s">
        <v>27</v>
      </c>
      <c r="E43" s="3" t="s">
        <v>27</v>
      </c>
      <c r="F43" s="3" t="s">
        <v>27</v>
      </c>
      <c r="G43" s="3" t="s">
        <v>27</v>
      </c>
      <c r="H43" s="3" t="s">
        <v>27</v>
      </c>
      <c r="I43" s="3" t="s">
        <v>180</v>
      </c>
      <c r="J43" s="3" t="s">
        <v>27</v>
      </c>
      <c r="K43" s="3" t="s">
        <v>27</v>
      </c>
      <c r="L43" s="3" t="s">
        <v>181</v>
      </c>
    </row>
  </sheetData>
  <mergeCells count="1">
    <mergeCell ref="A1:L1"/>
  </mergeCells>
  <conditionalFormatting sqref="L4:L43">
    <cfRule type="expression" dxfId="0" priority="1">
      <formula>L4="Completed"</formula>
    </cfRule>
  </conditionalFormatting>
  <dataValidations count="2">
    <dataValidation type="list" sqref="I4:I43">
      <formula1>"Yes,No"</formula1>
    </dataValidation>
    <dataValidation type="list" sqref="L4:L43">
      <formula1>"Not Started,In Progress,Completed,Blocked"</formula1>
    </dataValidation>
  </dataValidations>
  <hyperlinks>
    <hyperlink ref="H4" r:id="rId1" display="https://github.com/HlungwaneB/PTO-Management-System.git "/>
    <hyperlink ref="H6" r:id="rId2" display="https://drive.google.com/file/d/1WBh-Hiv2V74NSPv8v9fl7C-p25Q1AU0S/view?usp=sharing"/>
    <hyperlink ref="H7" r:id="rId3" display="https://drive.google.com/file/d/13mRYru-zK5hlS8O_3QRGihbv6UpAHD_3/view?usp=sharing"/>
    <hyperlink ref="H8" r:id="rId4" display="https://drive.google.com/file/d/1tZK_eGJNWONjl7ZVAQ2BYRstlMcYC516/view?usp=sharing" tooltip="https://drive.google.com/file/d/1tZK_eGJNWONjl7ZVAQ2BYRstlMcYC516/view?usp=sharing"/>
    <hyperlink ref="H9" r:id="rId5" display="https://tinyurl.com/4ntknas4"/>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workbookViewId="0">
      <selection activeCell="C8" sqref="C8"/>
    </sheetView>
  </sheetViews>
  <sheetFormatPr defaultColWidth="9" defaultRowHeight="13.8" outlineLevelCol="7"/>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ht="34" customHeight="1" spans="1:8">
      <c r="A1" s="1" t="s">
        <v>182</v>
      </c>
      <c r="B1" s="1"/>
      <c r="C1" s="1"/>
      <c r="D1" s="1"/>
      <c r="E1" s="1"/>
      <c r="F1" s="1"/>
      <c r="G1" s="1"/>
      <c r="H1" s="1"/>
    </row>
    <row r="3" ht="30" customHeight="1" spans="1:8">
      <c r="A3" s="6" t="s">
        <v>183</v>
      </c>
      <c r="B3" s="6" t="s">
        <v>184</v>
      </c>
      <c r="C3" s="6" t="s">
        <v>185</v>
      </c>
      <c r="D3" s="6" t="s">
        <v>186</v>
      </c>
      <c r="E3" s="6" t="s">
        <v>187</v>
      </c>
      <c r="F3" s="6" t="s">
        <v>188</v>
      </c>
      <c r="G3" s="6" t="s">
        <v>189</v>
      </c>
      <c r="H3" s="6" t="s">
        <v>190</v>
      </c>
    </row>
    <row r="4" ht="96.6" spans="1:8">
      <c r="A4" t="s">
        <v>64</v>
      </c>
      <c r="B4" s="3" t="s">
        <v>191</v>
      </c>
      <c r="C4" s="8" t="s">
        <v>192</v>
      </c>
      <c r="D4" s="3" t="s">
        <v>148</v>
      </c>
      <c r="E4" s="3" t="s">
        <v>68</v>
      </c>
      <c r="F4" s="3" t="s">
        <v>193</v>
      </c>
      <c r="G4" s="3" t="s">
        <v>148</v>
      </c>
      <c r="H4" s="3" t="s">
        <v>194</v>
      </c>
    </row>
    <row r="5" ht="96.6" spans="1:8">
      <c r="A5" t="s">
        <v>72</v>
      </c>
      <c r="B5" s="3" t="s">
        <v>191</v>
      </c>
      <c r="C5" s="8" t="s">
        <v>195</v>
      </c>
      <c r="D5" s="3" t="s">
        <v>148</v>
      </c>
      <c r="E5" s="7">
        <v>46063</v>
      </c>
      <c r="F5" s="3" t="s">
        <v>196</v>
      </c>
      <c r="G5" s="3" t="s">
        <v>148</v>
      </c>
      <c r="H5" s="3" t="s">
        <v>197</v>
      </c>
    </row>
    <row r="6" ht="96.6" spans="1:8">
      <c r="A6" t="s">
        <v>79</v>
      </c>
      <c r="B6" s="3" t="s">
        <v>191</v>
      </c>
      <c r="C6" s="8" t="s">
        <v>198</v>
      </c>
      <c r="D6" s="3" t="s">
        <v>148</v>
      </c>
      <c r="E6" s="7">
        <v>46063</v>
      </c>
      <c r="F6" s="3" t="s">
        <v>196</v>
      </c>
      <c r="G6" s="3" t="s">
        <v>148</v>
      </c>
      <c r="H6" s="3" t="s">
        <v>199</v>
      </c>
    </row>
    <row r="7" ht="82.8" spans="1:8">
      <c r="A7" t="s">
        <v>85</v>
      </c>
      <c r="B7" s="3" t="s">
        <v>191</v>
      </c>
      <c r="C7" s="9" t="s">
        <v>178</v>
      </c>
      <c r="D7" s="3" t="s">
        <v>148</v>
      </c>
      <c r="E7" s="7">
        <v>46063</v>
      </c>
      <c r="F7" s="3" t="s">
        <v>196</v>
      </c>
      <c r="G7" s="3" t="s">
        <v>148</v>
      </c>
      <c r="H7" s="3" t="s">
        <v>200</v>
      </c>
    </row>
    <row r="8" ht="41.4" spans="1:8">
      <c r="A8" t="s">
        <v>91</v>
      </c>
      <c r="B8" s="3" t="s">
        <v>191</v>
      </c>
      <c r="C8" s="9" t="s">
        <v>94</v>
      </c>
      <c r="D8" s="3" t="s">
        <v>148</v>
      </c>
      <c r="E8" s="7">
        <v>46063</v>
      </c>
      <c r="F8" s="3" t="s">
        <v>193</v>
      </c>
      <c r="G8" s="3" t="s">
        <v>148</v>
      </c>
      <c r="H8" s="3" t="s">
        <v>201</v>
      </c>
    </row>
    <row r="9" ht="82.8" spans="1:8">
      <c r="A9" t="s">
        <v>97</v>
      </c>
      <c r="B9" s="3" t="s">
        <v>202</v>
      </c>
      <c r="C9" s="9" t="s">
        <v>203</v>
      </c>
      <c r="D9" s="3" t="s">
        <v>148</v>
      </c>
      <c r="E9" s="7">
        <v>46275</v>
      </c>
      <c r="F9" s="3" t="s">
        <v>193</v>
      </c>
      <c r="G9" s="3" t="s">
        <v>148</v>
      </c>
      <c r="H9" s="3" t="s">
        <v>204</v>
      </c>
    </row>
    <row r="10" ht="69" spans="1:8">
      <c r="A10" t="s">
        <v>104</v>
      </c>
      <c r="B10" s="3" t="s">
        <v>202</v>
      </c>
      <c r="C10" s="9" t="s">
        <v>101</v>
      </c>
      <c r="D10" s="3" t="s">
        <v>148</v>
      </c>
      <c r="E10" s="7">
        <v>46275</v>
      </c>
      <c r="F10" s="3" t="s">
        <v>205</v>
      </c>
      <c r="G10" s="3" t="s">
        <v>148</v>
      </c>
      <c r="H10" s="3" t="s">
        <v>206</v>
      </c>
    </row>
    <row r="11" ht="86.4" spans="1:8">
      <c r="A11" t="s">
        <v>207</v>
      </c>
      <c r="B11" s="3" t="s">
        <v>208</v>
      </c>
      <c r="C11" s="9" t="s">
        <v>209</v>
      </c>
      <c r="D11" s="3" t="s">
        <v>148</v>
      </c>
      <c r="E11" s="3" t="s">
        <v>48</v>
      </c>
      <c r="F11" s="3" t="s">
        <v>99</v>
      </c>
      <c r="G11" s="3" t="s">
        <v>148</v>
      </c>
      <c r="H11" s="3" t="s">
        <v>210</v>
      </c>
    </row>
    <row r="12" ht="14.4" spans="3:3">
      <c r="C12" s="10" t="s">
        <v>211</v>
      </c>
    </row>
  </sheetData>
  <mergeCells count="1">
    <mergeCell ref="A1:H1"/>
  </mergeCells>
  <dataValidations count="1">
    <dataValidation type="list" sqref="D4:D11 G4:G11">
      <formula1>"Yes,No"</formula1>
    </dataValidation>
  </dataValidations>
  <hyperlinks>
    <hyperlink ref="C6" r:id="rId1" display="https://tinyurl.com/bdcnhxa4"/>
    <hyperlink ref="C7" r:id="rId2" display="https://tinyurl.com/4ntknas4" tooltip="https://tinyurl.com/4ntknas4"/>
    <hyperlink ref="C5" r:id="rId3" display="https://tinyurl.com/4ks4tbm2"/>
    <hyperlink ref="C4" r:id="rId4" display="https://tinyurl.com/4db6yj2n" tooltip="https://tinyurl.com/4db6yj2n"/>
    <hyperlink ref="C9" r:id="rId5" display="&#10;https://www.figma.com/design/hF3g70wiKh3NJvoP6Dmpen/Untitled?node-id=300-689&amp;p=f&amp;t=jQzNewh1hYUo0MM9-0"/>
    <hyperlink ref="C10" r:id="rId6" display="https://www.figma.com/design/hF3g70wiKh3NJvoP6Dmpen/Untitled?node-id=0-1&amp;p=f&amp;t=jQzNewh1hYUo0MM9-0" tooltip="https://www.figma.com/design/hF3g70wiKh3NJvoP6Dmpen/Untitled?node-id=0-1&amp;p=f&amp;t=jQzNewh1hYUo0MM9-0"/>
    <hyperlink ref="C11" r:id="rId5" display="https://www.figma.com/proto/hF3g70wiKh3NJvoP6Dmpen/Untitled?node-id=320-11925&amp;p=f&amp;t=ajQtHtzP4WYwDvLs-1&amp;scaling=scale-down&amp;content-scaling=fixed&amp;page-id=300%3A689&amp;starting-point-node-id=320%3A11925&#10;" tooltip="https://www.figma.com/proto/hF3g70wiKh3NJvoP6Dmpen/Untitled?node-id=320-11925&amp;p=f&amp;t=ajQtHtzP4WYwDvLs-1&amp;scaling=scale-down&amp;content-scaling=fixed&amp;page-id=300%3A689&amp;starting-point-node-id=320%3A11925&#10;"/>
    <hyperlink ref="C8" r:id="rId7" display="https://tinyurl.com/48anbe67&#10;" tooltip="https://tinyurl.com/48anbe67&#10;"/>
    <hyperlink ref="C12" r:id="rId8" display="https://www.figma.com/proto/hF3g70wiKh3NJvoP6Dmpen/Untitled?node-id=106-16&amp;t=f7781PNJRa1UwXdE-1&amp;scaling=scale-down&amp;content-scaling=fixed&amp;page-id=0%3A1&amp;starting-point-node-id=106%3A3"/>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
  <sheetViews>
    <sheetView topLeftCell="B1" workbookViewId="0">
      <selection activeCell="H5" sqref="H5"/>
    </sheetView>
  </sheetViews>
  <sheetFormatPr defaultColWidth="9" defaultRowHeight="13.8"/>
  <cols>
    <col min="1" max="1" width="15" customWidth="1"/>
    <col min="2" max="2" width="32" customWidth="1"/>
    <col min="3" max="3" width="34" customWidth="1"/>
    <col min="4" max="4" width="38" customWidth="1"/>
    <col min="5" max="5" width="24" customWidth="1"/>
    <col min="6" max="8" width="15" customWidth="1"/>
    <col min="9" max="9" width="32" customWidth="1"/>
  </cols>
  <sheetData>
    <row r="1" ht="34" customHeight="1" spans="1:9">
      <c r="A1" s="1" t="s">
        <v>212</v>
      </c>
      <c r="B1" s="1"/>
      <c r="C1" s="1"/>
      <c r="D1" s="1"/>
      <c r="E1" s="1"/>
      <c r="F1" s="1"/>
      <c r="G1" s="1"/>
      <c r="H1" s="1"/>
      <c r="I1" s="1"/>
    </row>
    <row r="3" ht="30" customHeight="1" spans="1:9">
      <c r="A3" s="6" t="s">
        <v>213</v>
      </c>
      <c r="B3" s="6" t="s">
        <v>214</v>
      </c>
      <c r="C3" s="6" t="s">
        <v>215</v>
      </c>
      <c r="D3" s="6" t="s">
        <v>216</v>
      </c>
      <c r="E3" s="6" t="s">
        <v>188</v>
      </c>
      <c r="F3" s="6" t="s">
        <v>217</v>
      </c>
      <c r="G3" s="6" t="s">
        <v>59</v>
      </c>
      <c r="H3" s="6" t="s">
        <v>218</v>
      </c>
      <c r="I3" s="6" t="s">
        <v>190</v>
      </c>
    </row>
    <row r="4" ht="41.4" spans="1:9">
      <c r="A4" s="3" t="s">
        <v>219</v>
      </c>
      <c r="B4" s="3" t="s">
        <v>220</v>
      </c>
      <c r="C4" s="3" t="s">
        <v>221</v>
      </c>
      <c r="D4" s="3" t="s">
        <v>222</v>
      </c>
      <c r="E4" s="3" t="s">
        <v>30</v>
      </c>
      <c r="F4" s="3" t="s">
        <v>223</v>
      </c>
      <c r="G4" s="3" t="s">
        <v>38</v>
      </c>
      <c r="H4" s="3" t="s">
        <v>100</v>
      </c>
      <c r="I4" s="3" t="s">
        <v>224</v>
      </c>
    </row>
    <row r="5" ht="138" spans="1:9">
      <c r="A5" s="3" t="s">
        <v>225</v>
      </c>
      <c r="B5" s="3" t="s">
        <v>226</v>
      </c>
      <c r="C5" s="3" t="s">
        <v>227</v>
      </c>
      <c r="D5" s="3" t="s">
        <v>228</v>
      </c>
      <c r="E5" s="3" t="s">
        <v>30</v>
      </c>
      <c r="F5" s="7">
        <v>46091</v>
      </c>
      <c r="G5" s="3" t="s">
        <v>38</v>
      </c>
      <c r="H5" s="7">
        <v>46366</v>
      </c>
      <c r="I5" s="3" t="s">
        <v>229</v>
      </c>
    </row>
    <row r="6" spans="1:9">
      <c r="A6" s="3" t="s">
        <v>27</v>
      </c>
      <c r="B6" s="3" t="s">
        <v>27</v>
      </c>
      <c r="C6" s="3" t="s">
        <v>27</v>
      </c>
      <c r="D6" s="3" t="s">
        <v>27</v>
      </c>
      <c r="E6" s="3" t="s">
        <v>27</v>
      </c>
      <c r="F6" s="3" t="s">
        <v>27</v>
      </c>
      <c r="G6" s="3" t="s">
        <v>181</v>
      </c>
      <c r="H6" s="3" t="s">
        <v>27</v>
      </c>
      <c r="I6" s="3" t="s">
        <v>27</v>
      </c>
    </row>
    <row r="7" spans="1:9">
      <c r="A7" s="3" t="s">
        <v>27</v>
      </c>
      <c r="B7" s="3" t="s">
        <v>27</v>
      </c>
      <c r="C7" s="3" t="s">
        <v>27</v>
      </c>
      <c r="D7" s="3" t="s">
        <v>27</v>
      </c>
      <c r="E7" s="3" t="s">
        <v>27</v>
      </c>
      <c r="F7" s="3" t="s">
        <v>27</v>
      </c>
      <c r="G7" s="3" t="s">
        <v>181</v>
      </c>
      <c r="H7" s="3" t="s">
        <v>27</v>
      </c>
      <c r="I7" s="3" t="s">
        <v>27</v>
      </c>
    </row>
    <row r="8" spans="1:9">
      <c r="A8" s="3" t="s">
        <v>27</v>
      </c>
      <c r="B8" s="3" t="s">
        <v>27</v>
      </c>
      <c r="C8" s="3" t="s">
        <v>27</v>
      </c>
      <c r="D8" s="3" t="s">
        <v>27</v>
      </c>
      <c r="E8" s="3" t="s">
        <v>27</v>
      </c>
      <c r="F8" s="3" t="s">
        <v>27</v>
      </c>
      <c r="G8" s="3" t="s">
        <v>181</v>
      </c>
      <c r="H8" s="3" t="s">
        <v>27</v>
      </c>
      <c r="I8" s="3" t="s">
        <v>27</v>
      </c>
    </row>
    <row r="9" spans="1:9">
      <c r="A9" s="3" t="s">
        <v>27</v>
      </c>
      <c r="B9" s="3" t="s">
        <v>27</v>
      </c>
      <c r="C9" s="3" t="s">
        <v>27</v>
      </c>
      <c r="D9" s="3" t="s">
        <v>27</v>
      </c>
      <c r="E9" s="3" t="s">
        <v>27</v>
      </c>
      <c r="F9" s="3" t="s">
        <v>27</v>
      </c>
      <c r="G9" s="3" t="s">
        <v>181</v>
      </c>
      <c r="H9" s="3" t="s">
        <v>27</v>
      </c>
      <c r="I9" s="3" t="s">
        <v>27</v>
      </c>
    </row>
    <row r="10" spans="1:9">
      <c r="A10" s="3" t="s">
        <v>27</v>
      </c>
      <c r="B10" s="3" t="s">
        <v>27</v>
      </c>
      <c r="C10" s="3" t="s">
        <v>27</v>
      </c>
      <c r="D10" s="3" t="s">
        <v>27</v>
      </c>
      <c r="E10" s="3" t="s">
        <v>27</v>
      </c>
      <c r="F10" s="3" t="s">
        <v>27</v>
      </c>
      <c r="G10" s="3" t="s">
        <v>181</v>
      </c>
      <c r="H10" s="3" t="s">
        <v>27</v>
      </c>
      <c r="I10" s="3" t="s">
        <v>27</v>
      </c>
    </row>
    <row r="11" spans="1:9">
      <c r="A11" s="3" t="s">
        <v>27</v>
      </c>
      <c r="B11" s="3" t="s">
        <v>27</v>
      </c>
      <c r="C11" s="3" t="s">
        <v>27</v>
      </c>
      <c r="D11" s="3" t="s">
        <v>27</v>
      </c>
      <c r="E11" s="3" t="s">
        <v>27</v>
      </c>
      <c r="F11" s="3" t="s">
        <v>27</v>
      </c>
      <c r="G11" s="3" t="s">
        <v>181</v>
      </c>
      <c r="H11" s="3" t="s">
        <v>27</v>
      </c>
      <c r="I11" s="3" t="s">
        <v>27</v>
      </c>
    </row>
    <row r="12" spans="1:9">
      <c r="A12" s="3" t="s">
        <v>27</v>
      </c>
      <c r="B12" s="3" t="s">
        <v>27</v>
      </c>
      <c r="C12" s="3" t="s">
        <v>27</v>
      </c>
      <c r="D12" s="3" t="s">
        <v>27</v>
      </c>
      <c r="E12" s="3" t="s">
        <v>27</v>
      </c>
      <c r="F12" s="3" t="s">
        <v>27</v>
      </c>
      <c r="G12" s="3" t="s">
        <v>181</v>
      </c>
      <c r="H12" s="3" t="s">
        <v>27</v>
      </c>
      <c r="I12" s="3" t="s">
        <v>27</v>
      </c>
    </row>
    <row r="13" spans="1:9">
      <c r="A13" s="3" t="s">
        <v>27</v>
      </c>
      <c r="B13" s="3" t="s">
        <v>27</v>
      </c>
      <c r="C13" s="3" t="s">
        <v>27</v>
      </c>
      <c r="D13" s="3" t="s">
        <v>27</v>
      </c>
      <c r="E13" s="3" t="s">
        <v>27</v>
      </c>
      <c r="F13" s="3" t="s">
        <v>27</v>
      </c>
      <c r="G13" s="3" t="s">
        <v>181</v>
      </c>
      <c r="H13" s="3" t="s">
        <v>27</v>
      </c>
      <c r="I13" s="3" t="s">
        <v>27</v>
      </c>
    </row>
    <row r="14" spans="1:9">
      <c r="A14" s="3" t="s">
        <v>27</v>
      </c>
      <c r="B14" s="3" t="s">
        <v>27</v>
      </c>
      <c r="C14" s="3" t="s">
        <v>27</v>
      </c>
      <c r="D14" s="3" t="s">
        <v>27</v>
      </c>
      <c r="E14" s="3" t="s">
        <v>27</v>
      </c>
      <c r="F14" s="3" t="s">
        <v>27</v>
      </c>
      <c r="G14" s="3" t="s">
        <v>181</v>
      </c>
      <c r="H14" s="3" t="s">
        <v>27</v>
      </c>
      <c r="I14" s="3" t="s">
        <v>27</v>
      </c>
    </row>
    <row r="15" spans="1:9">
      <c r="A15" s="3" t="s">
        <v>27</v>
      </c>
      <c r="B15" s="3" t="s">
        <v>27</v>
      </c>
      <c r="C15" s="3" t="s">
        <v>27</v>
      </c>
      <c r="D15" s="3" t="s">
        <v>27</v>
      </c>
      <c r="E15" s="3" t="s">
        <v>27</v>
      </c>
      <c r="F15" s="3" t="s">
        <v>27</v>
      </c>
      <c r="G15" s="3" t="s">
        <v>181</v>
      </c>
      <c r="H15" s="3" t="s">
        <v>27</v>
      </c>
      <c r="I15" s="3" t="s">
        <v>27</v>
      </c>
    </row>
    <row r="16" spans="1:9">
      <c r="A16" s="3" t="s">
        <v>27</v>
      </c>
      <c r="B16" s="3" t="s">
        <v>27</v>
      </c>
      <c r="C16" s="3" t="s">
        <v>27</v>
      </c>
      <c r="D16" s="3" t="s">
        <v>27</v>
      </c>
      <c r="E16" s="3" t="s">
        <v>27</v>
      </c>
      <c r="F16" s="3" t="s">
        <v>27</v>
      </c>
      <c r="G16" s="3" t="s">
        <v>181</v>
      </c>
      <c r="H16" s="3" t="s">
        <v>27</v>
      </c>
      <c r="I16" s="3" t="s">
        <v>27</v>
      </c>
    </row>
    <row r="17" spans="1:9">
      <c r="A17" s="3" t="s">
        <v>27</v>
      </c>
      <c r="B17" s="3" t="s">
        <v>27</v>
      </c>
      <c r="C17" s="3" t="s">
        <v>27</v>
      </c>
      <c r="D17" s="3" t="s">
        <v>27</v>
      </c>
      <c r="E17" s="3" t="s">
        <v>27</v>
      </c>
      <c r="F17" s="3" t="s">
        <v>27</v>
      </c>
      <c r="G17" s="3" t="s">
        <v>181</v>
      </c>
      <c r="H17" s="3" t="s">
        <v>27</v>
      </c>
      <c r="I17" s="3" t="s">
        <v>27</v>
      </c>
    </row>
    <row r="18" spans="1:9">
      <c r="A18" s="3" t="s">
        <v>27</v>
      </c>
      <c r="B18" s="3" t="s">
        <v>27</v>
      </c>
      <c r="C18" s="3" t="s">
        <v>27</v>
      </c>
      <c r="D18" s="3" t="s">
        <v>27</v>
      </c>
      <c r="E18" s="3" t="s">
        <v>27</v>
      </c>
      <c r="F18" s="3" t="s">
        <v>27</v>
      </c>
      <c r="G18" s="3" t="s">
        <v>181</v>
      </c>
      <c r="H18" s="3" t="s">
        <v>27</v>
      </c>
      <c r="I18" s="3" t="s">
        <v>27</v>
      </c>
    </row>
    <row r="19" spans="1:9">
      <c r="A19" s="3" t="s">
        <v>27</v>
      </c>
      <c r="B19" s="3" t="s">
        <v>27</v>
      </c>
      <c r="C19" s="3" t="s">
        <v>27</v>
      </c>
      <c r="D19" s="3" t="s">
        <v>27</v>
      </c>
      <c r="E19" s="3" t="s">
        <v>27</v>
      </c>
      <c r="F19" s="3" t="s">
        <v>27</v>
      </c>
      <c r="G19" s="3" t="s">
        <v>181</v>
      </c>
      <c r="H19" s="3" t="s">
        <v>27</v>
      </c>
      <c r="I19" s="3" t="s">
        <v>27</v>
      </c>
    </row>
    <row r="20" spans="1:9">
      <c r="A20" s="3" t="s">
        <v>27</v>
      </c>
      <c r="B20" s="3" t="s">
        <v>27</v>
      </c>
      <c r="C20" s="3" t="s">
        <v>27</v>
      </c>
      <c r="D20" s="3" t="s">
        <v>27</v>
      </c>
      <c r="E20" s="3" t="s">
        <v>27</v>
      </c>
      <c r="F20" s="3" t="s">
        <v>27</v>
      </c>
      <c r="G20" s="3" t="s">
        <v>181</v>
      </c>
      <c r="H20" s="3" t="s">
        <v>27</v>
      </c>
      <c r="I20" s="3" t="s">
        <v>27</v>
      </c>
    </row>
    <row r="21" spans="1:9">
      <c r="A21" s="3" t="s">
        <v>27</v>
      </c>
      <c r="B21" s="3" t="s">
        <v>27</v>
      </c>
      <c r="C21" s="3" t="s">
        <v>27</v>
      </c>
      <c r="D21" s="3" t="s">
        <v>27</v>
      </c>
      <c r="E21" s="3" t="s">
        <v>27</v>
      </c>
      <c r="F21" s="3" t="s">
        <v>27</v>
      </c>
      <c r="G21" s="3" t="s">
        <v>181</v>
      </c>
      <c r="H21" s="3" t="s">
        <v>27</v>
      </c>
      <c r="I21" s="3" t="s">
        <v>27</v>
      </c>
    </row>
    <row r="22" spans="1:9">
      <c r="A22" s="3" t="s">
        <v>27</v>
      </c>
      <c r="B22" s="3" t="s">
        <v>27</v>
      </c>
      <c r="C22" s="3" t="s">
        <v>27</v>
      </c>
      <c r="D22" s="3" t="s">
        <v>27</v>
      </c>
      <c r="E22" s="3" t="s">
        <v>27</v>
      </c>
      <c r="F22" s="3" t="s">
        <v>27</v>
      </c>
      <c r="G22" s="3" t="s">
        <v>181</v>
      </c>
      <c r="H22" s="3" t="s">
        <v>27</v>
      </c>
      <c r="I22" s="3" t="s">
        <v>27</v>
      </c>
    </row>
    <row r="23" spans="1:9">
      <c r="A23" s="3" t="s">
        <v>27</v>
      </c>
      <c r="B23" s="3" t="s">
        <v>27</v>
      </c>
      <c r="C23" s="3" t="s">
        <v>27</v>
      </c>
      <c r="D23" s="3" t="s">
        <v>27</v>
      </c>
      <c r="E23" s="3" t="s">
        <v>27</v>
      </c>
      <c r="F23" s="3" t="s">
        <v>27</v>
      </c>
      <c r="G23" s="3" t="s">
        <v>181</v>
      </c>
      <c r="H23" s="3" t="s">
        <v>27</v>
      </c>
      <c r="I23" s="3" t="s">
        <v>27</v>
      </c>
    </row>
    <row r="24" spans="1:9">
      <c r="A24" s="3" t="s">
        <v>27</v>
      </c>
      <c r="B24" s="3" t="s">
        <v>27</v>
      </c>
      <c r="C24" s="3" t="s">
        <v>27</v>
      </c>
      <c r="D24" s="3" t="s">
        <v>27</v>
      </c>
      <c r="E24" s="3" t="s">
        <v>27</v>
      </c>
      <c r="F24" s="3" t="s">
        <v>27</v>
      </c>
      <c r="G24" s="3" t="s">
        <v>181</v>
      </c>
      <c r="H24" s="3" t="s">
        <v>27</v>
      </c>
      <c r="I24" s="3" t="s">
        <v>27</v>
      </c>
    </row>
    <row r="25" spans="1:9">
      <c r="A25" s="3" t="s">
        <v>27</v>
      </c>
      <c r="B25" s="3" t="s">
        <v>27</v>
      </c>
      <c r="C25" s="3" t="s">
        <v>27</v>
      </c>
      <c r="D25" s="3" t="s">
        <v>27</v>
      </c>
      <c r="E25" s="3" t="s">
        <v>27</v>
      </c>
      <c r="F25" s="3" t="s">
        <v>27</v>
      </c>
      <c r="G25" s="3" t="s">
        <v>181</v>
      </c>
      <c r="H25" s="3" t="s">
        <v>27</v>
      </c>
      <c r="I25" s="3" t="s">
        <v>27</v>
      </c>
    </row>
    <row r="26" spans="1:9">
      <c r="A26" s="3" t="s">
        <v>27</v>
      </c>
      <c r="B26" s="3" t="s">
        <v>27</v>
      </c>
      <c r="C26" s="3" t="s">
        <v>27</v>
      </c>
      <c r="D26" s="3" t="s">
        <v>27</v>
      </c>
      <c r="E26" s="3" t="s">
        <v>27</v>
      </c>
      <c r="F26" s="3" t="s">
        <v>27</v>
      </c>
      <c r="G26" s="3" t="s">
        <v>181</v>
      </c>
      <c r="H26" s="3" t="s">
        <v>27</v>
      </c>
      <c r="I26" s="3" t="s">
        <v>27</v>
      </c>
    </row>
    <row r="27" spans="1:9">
      <c r="A27" s="3" t="s">
        <v>27</v>
      </c>
      <c r="B27" s="3" t="s">
        <v>27</v>
      </c>
      <c r="C27" s="3" t="s">
        <v>27</v>
      </c>
      <c r="D27" s="3" t="s">
        <v>27</v>
      </c>
      <c r="E27" s="3" t="s">
        <v>27</v>
      </c>
      <c r="F27" s="3" t="s">
        <v>27</v>
      </c>
      <c r="G27" s="3" t="s">
        <v>181</v>
      </c>
      <c r="H27" s="3" t="s">
        <v>27</v>
      </c>
      <c r="I27" s="3" t="s">
        <v>27</v>
      </c>
    </row>
    <row r="28" spans="1:9">
      <c r="A28" s="3" t="s">
        <v>27</v>
      </c>
      <c r="B28" s="3" t="s">
        <v>27</v>
      </c>
      <c r="C28" s="3" t="s">
        <v>27</v>
      </c>
      <c r="D28" s="3" t="s">
        <v>27</v>
      </c>
      <c r="E28" s="3" t="s">
        <v>27</v>
      </c>
      <c r="F28" s="3" t="s">
        <v>27</v>
      </c>
      <c r="G28" s="3" t="s">
        <v>181</v>
      </c>
      <c r="H28" s="3" t="s">
        <v>27</v>
      </c>
      <c r="I28" s="3" t="s">
        <v>27</v>
      </c>
    </row>
    <row r="29" spans="1:9">
      <c r="A29" s="3" t="s">
        <v>27</v>
      </c>
      <c r="B29" s="3" t="s">
        <v>27</v>
      </c>
      <c r="C29" s="3" t="s">
        <v>27</v>
      </c>
      <c r="D29" s="3" t="s">
        <v>27</v>
      </c>
      <c r="E29" s="3" t="s">
        <v>27</v>
      </c>
      <c r="F29" s="3" t="s">
        <v>27</v>
      </c>
      <c r="G29" s="3" t="s">
        <v>181</v>
      </c>
      <c r="H29" s="3" t="s">
        <v>27</v>
      </c>
      <c r="I29" s="3" t="s">
        <v>27</v>
      </c>
    </row>
    <row r="30" spans="1:9">
      <c r="A30" s="3" t="s">
        <v>27</v>
      </c>
      <c r="B30" s="3" t="s">
        <v>27</v>
      </c>
      <c r="C30" s="3" t="s">
        <v>27</v>
      </c>
      <c r="D30" s="3" t="s">
        <v>27</v>
      </c>
      <c r="E30" s="3" t="s">
        <v>27</v>
      </c>
      <c r="F30" s="3" t="s">
        <v>27</v>
      </c>
      <c r="G30" s="3" t="s">
        <v>181</v>
      </c>
      <c r="H30" s="3" t="s">
        <v>27</v>
      </c>
      <c r="I30" s="3" t="s">
        <v>27</v>
      </c>
    </row>
    <row r="31" spans="1:9">
      <c r="A31" s="3" t="s">
        <v>27</v>
      </c>
      <c r="B31" s="3" t="s">
        <v>27</v>
      </c>
      <c r="C31" s="3" t="s">
        <v>27</v>
      </c>
      <c r="D31" s="3" t="s">
        <v>27</v>
      </c>
      <c r="E31" s="3" t="s">
        <v>27</v>
      </c>
      <c r="F31" s="3" t="s">
        <v>27</v>
      </c>
      <c r="G31" s="3" t="s">
        <v>181</v>
      </c>
      <c r="H31" s="3" t="s">
        <v>27</v>
      </c>
      <c r="I31" s="3" t="s">
        <v>27</v>
      </c>
    </row>
    <row r="32" spans="1:9">
      <c r="A32" s="3" t="s">
        <v>27</v>
      </c>
      <c r="B32" s="3" t="s">
        <v>27</v>
      </c>
      <c r="C32" s="3" t="s">
        <v>27</v>
      </c>
      <c r="D32" s="3" t="s">
        <v>27</v>
      </c>
      <c r="E32" s="3" t="s">
        <v>27</v>
      </c>
      <c r="F32" s="3" t="s">
        <v>27</v>
      </c>
      <c r="G32" s="3" t="s">
        <v>181</v>
      </c>
      <c r="H32" s="3" t="s">
        <v>27</v>
      </c>
      <c r="I32" s="3" t="s">
        <v>27</v>
      </c>
    </row>
    <row r="33" spans="1:9">
      <c r="A33" s="3" t="s">
        <v>27</v>
      </c>
      <c r="B33" s="3" t="s">
        <v>27</v>
      </c>
      <c r="C33" s="3" t="s">
        <v>27</v>
      </c>
      <c r="D33" s="3" t="s">
        <v>27</v>
      </c>
      <c r="E33" s="3" t="s">
        <v>27</v>
      </c>
      <c r="F33" s="3" t="s">
        <v>27</v>
      </c>
      <c r="G33" s="3" t="s">
        <v>181</v>
      </c>
      <c r="H33" s="3" t="s">
        <v>27</v>
      </c>
      <c r="I33" s="3" t="s">
        <v>27</v>
      </c>
    </row>
  </sheetData>
  <mergeCells count="1">
    <mergeCell ref="A1:I1"/>
  </mergeCells>
  <conditionalFormatting sqref="G4:G33">
    <cfRule type="expression" dxfId="0" priority="1">
      <formula>G4="Completed"</formula>
    </cfRule>
    <cfRule type="expression" dxfId="1" priority="2">
      <formula>G4="Blocked"</formula>
    </cfRule>
  </conditionalFormatting>
  <dataValidations count="1">
    <dataValidation type="list" sqref="G4:G33">
      <formula1>"Not Started,In Progress,Completed,Blocked"</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workbookViewId="0">
      <selection activeCell="F8" sqref="F8"/>
    </sheetView>
  </sheetViews>
  <sheetFormatPr defaultColWidth="9" defaultRowHeight="13.8" outlineLevelCol="5"/>
  <cols>
    <col min="1" max="1" width="38" customWidth="1"/>
    <col min="2" max="3" width="34" customWidth="1"/>
    <col min="4" max="4" width="4" customWidth="1"/>
    <col min="5" max="5" width="38" customWidth="1"/>
    <col min="6" max="6" width="14" customWidth="1"/>
  </cols>
  <sheetData>
    <row r="1" ht="34" customHeight="1" spans="1:6">
      <c r="A1" s="1" t="s">
        <v>32</v>
      </c>
      <c r="B1" s="1"/>
      <c r="C1" s="1"/>
      <c r="D1" s="1"/>
      <c r="E1" s="1"/>
      <c r="F1" s="1"/>
    </row>
    <row r="3" ht="30" customHeight="1" spans="1:6">
      <c r="A3" s="2" t="s">
        <v>47</v>
      </c>
      <c r="B3" s="3" t="s">
        <v>230</v>
      </c>
      <c r="C3" s="3"/>
      <c r="E3" s="6" t="s">
        <v>231</v>
      </c>
      <c r="F3" s="6" t="s">
        <v>232</v>
      </c>
    </row>
    <row r="4" spans="1:6">
      <c r="A4" s="2" t="s">
        <v>49</v>
      </c>
      <c r="B4" s="3" t="s">
        <v>38</v>
      </c>
      <c r="C4" s="3"/>
      <c r="E4" t="s">
        <v>233</v>
      </c>
      <c r="F4" s="3" t="s">
        <v>148</v>
      </c>
    </row>
    <row r="5" spans="1:6">
      <c r="A5" s="2" t="s">
        <v>234</v>
      </c>
      <c r="B5" s="3" t="s">
        <v>235</v>
      </c>
      <c r="C5" s="3"/>
      <c r="E5" t="s">
        <v>236</v>
      </c>
      <c r="F5" s="3" t="s">
        <v>148</v>
      </c>
    </row>
    <row r="6" spans="1:6">
      <c r="A6" s="2" t="s">
        <v>237</v>
      </c>
      <c r="B6" s="3" t="s">
        <v>238</v>
      </c>
      <c r="C6" s="3"/>
      <c r="E6" t="s">
        <v>239</v>
      </c>
      <c r="F6" s="3" t="s">
        <v>148</v>
      </c>
    </row>
    <row r="7" spans="1:6">
      <c r="A7" s="2" t="s">
        <v>240</v>
      </c>
      <c r="B7" s="3" t="s">
        <v>241</v>
      </c>
      <c r="C7" s="3"/>
      <c r="E7" t="s">
        <v>242</v>
      </c>
      <c r="F7" s="3" t="s">
        <v>148</v>
      </c>
    </row>
    <row r="8" ht="27.6" spans="1:6">
      <c r="A8" s="2" t="s">
        <v>243</v>
      </c>
      <c r="B8" s="3" t="s">
        <v>244</v>
      </c>
      <c r="C8" s="3"/>
      <c r="E8" t="s">
        <v>245</v>
      </c>
      <c r="F8" s="3" t="s">
        <v>148</v>
      </c>
    </row>
    <row r="9" spans="1:6">
      <c r="A9" s="2" t="s">
        <v>246</v>
      </c>
      <c r="B9" s="3" t="s">
        <v>180</v>
      </c>
      <c r="C9" s="3"/>
      <c r="E9" t="s">
        <v>247</v>
      </c>
      <c r="F9" s="3" t="s">
        <v>148</v>
      </c>
    </row>
    <row r="10" spans="1:6">
      <c r="A10" s="2" t="s">
        <v>248</v>
      </c>
      <c r="B10" s="3" t="s">
        <v>249</v>
      </c>
      <c r="C10" s="3"/>
      <c r="E10" t="s">
        <v>250</v>
      </c>
      <c r="F10" s="3" t="s">
        <v>148</v>
      </c>
    </row>
    <row r="11" spans="1:6">
      <c r="A11" s="2" t="s">
        <v>251</v>
      </c>
      <c r="B11" s="3" t="s">
        <v>252</v>
      </c>
      <c r="C11" s="3"/>
      <c r="E11" t="s">
        <v>253</v>
      </c>
      <c r="F11" s="3" t="s">
        <v>148</v>
      </c>
    </row>
    <row r="12" spans="5:6">
      <c r="E12" t="s">
        <v>254</v>
      </c>
      <c r="F12" s="3" t="s">
        <v>148</v>
      </c>
    </row>
    <row r="13" spans="5:6">
      <c r="E13" t="s">
        <v>255</v>
      </c>
      <c r="F13" s="3" t="s">
        <v>148</v>
      </c>
    </row>
    <row r="14" spans="5:6">
      <c r="E14" t="s">
        <v>256</v>
      </c>
      <c r="F14" s="3" t="s">
        <v>148</v>
      </c>
    </row>
    <row r="15" spans="5:6">
      <c r="E15" t="s">
        <v>257</v>
      </c>
      <c r="F15" s="3" t="s">
        <v>148</v>
      </c>
    </row>
    <row r="16" spans="5:6">
      <c r="E16" t="s">
        <v>258</v>
      </c>
      <c r="F16" s="3" t="s">
        <v>148</v>
      </c>
    </row>
  </sheetData>
  <mergeCells count="10">
    <mergeCell ref="A1:F1"/>
    <mergeCell ref="B3:C3"/>
    <mergeCell ref="B4:C4"/>
    <mergeCell ref="B5:C5"/>
    <mergeCell ref="B6:C6"/>
    <mergeCell ref="B7:C7"/>
    <mergeCell ref="B8:C8"/>
    <mergeCell ref="B9:C9"/>
    <mergeCell ref="B10:C10"/>
    <mergeCell ref="B11:C11"/>
  </mergeCells>
  <dataValidations count="2">
    <dataValidation type="list" sqref="B4">
      <formula1>"Not Started,In Progress,Completed,Blocked"</formula1>
    </dataValidation>
    <dataValidation type="list" sqref="F4:F16">
      <formula1>"Yes,No"</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A20" sqref="A20:F21"/>
    </sheetView>
  </sheetViews>
  <sheetFormatPr defaultColWidth="9" defaultRowHeight="13.8" outlineLevelCol="5"/>
  <cols>
    <col min="1" max="6" width="24" customWidth="1"/>
  </cols>
  <sheetData>
    <row r="1" ht="34" customHeight="1" spans="1:6">
      <c r="A1" s="1" t="s">
        <v>259</v>
      </c>
      <c r="B1" s="1"/>
      <c r="C1" s="1"/>
      <c r="D1" s="1"/>
      <c r="E1" s="1"/>
      <c r="F1" s="1"/>
    </row>
    <row r="3" ht="28" customHeight="1" spans="1:6">
      <c r="A3" s="2" t="s">
        <v>260</v>
      </c>
      <c r="B3" s="2"/>
      <c r="C3" s="2"/>
      <c r="D3" s="2"/>
      <c r="E3" s="2"/>
      <c r="F3" s="2"/>
    </row>
    <row r="4" ht="38" customHeight="1" spans="1:6">
      <c r="A4" s="3" t="s">
        <v>261</v>
      </c>
      <c r="B4" s="4"/>
      <c r="C4" s="4"/>
      <c r="D4" s="4"/>
      <c r="E4" s="4"/>
      <c r="F4" s="4"/>
    </row>
    <row r="5" ht="38" customHeight="1" spans="1:6">
      <c r="A5" s="4"/>
      <c r="B5" s="4"/>
      <c r="C5" s="4"/>
      <c r="D5" s="4"/>
      <c r="E5" s="4"/>
      <c r="F5" s="4"/>
    </row>
    <row r="6" ht="30" customHeight="1" spans="1:6">
      <c r="A6" s="5"/>
      <c r="B6" s="5"/>
      <c r="C6" s="5"/>
      <c r="D6" s="5"/>
      <c r="E6" s="5"/>
      <c r="F6" s="5"/>
    </row>
    <row r="7" ht="28" customHeight="1" spans="1:6">
      <c r="A7" s="5" t="s">
        <v>262</v>
      </c>
      <c r="B7" s="5"/>
      <c r="C7" s="5"/>
      <c r="D7" s="5"/>
      <c r="E7" s="5"/>
      <c r="F7" s="5"/>
    </row>
    <row r="8" ht="38" customHeight="1" spans="1:6">
      <c r="A8" s="3" t="s">
        <v>263</v>
      </c>
      <c r="B8" s="4"/>
      <c r="C8" s="4"/>
      <c r="D8" s="4"/>
      <c r="E8" s="4"/>
      <c r="F8" s="4"/>
    </row>
    <row r="9" ht="38" customHeight="1" spans="1:6">
      <c r="A9" s="3"/>
      <c r="B9" s="3"/>
      <c r="C9" s="3"/>
      <c r="D9" s="3"/>
      <c r="E9" s="3"/>
      <c r="F9" s="3"/>
    </row>
    <row r="10" ht="42" customHeight="1" spans="1:6">
      <c r="A10" s="3"/>
      <c r="B10" s="3"/>
      <c r="C10" s="3"/>
      <c r="D10" s="3"/>
      <c r="E10" s="3"/>
      <c r="F10" s="3"/>
    </row>
    <row r="11" ht="28" customHeight="1" spans="1:6">
      <c r="A11" s="2" t="s">
        <v>264</v>
      </c>
      <c r="B11" s="2"/>
      <c r="C11" s="2"/>
      <c r="D11" s="2"/>
      <c r="E11" s="2"/>
      <c r="F11" s="2"/>
    </row>
    <row r="12" ht="38" customHeight="1" spans="1:6">
      <c r="A12" s="3" t="s">
        <v>265</v>
      </c>
      <c r="B12" s="3"/>
      <c r="C12" s="3"/>
      <c r="D12" s="3"/>
      <c r="E12" s="3"/>
      <c r="F12" s="3"/>
    </row>
    <row r="13" ht="38" customHeight="1" spans="1:6">
      <c r="A13" s="3"/>
      <c r="B13" s="3"/>
      <c r="C13" s="3"/>
      <c r="D13" s="3"/>
      <c r="E13" s="3"/>
      <c r="F13" s="3"/>
    </row>
    <row r="15" ht="28" customHeight="1" spans="1:6">
      <c r="A15" s="2" t="s">
        <v>266</v>
      </c>
      <c r="B15" s="2"/>
      <c r="C15" s="2"/>
      <c r="D15" s="2"/>
      <c r="E15" s="2"/>
      <c r="F15" s="2"/>
    </row>
    <row r="16" ht="38" customHeight="1" spans="1:6">
      <c r="A16" s="3" t="s">
        <v>267</v>
      </c>
      <c r="B16" s="3"/>
      <c r="C16" s="3"/>
      <c r="D16" s="3"/>
      <c r="E16" s="3"/>
      <c r="F16" s="3"/>
    </row>
    <row r="17" ht="38" customHeight="1" spans="1:6">
      <c r="A17" s="3"/>
      <c r="B17" s="3"/>
      <c r="C17" s="3"/>
      <c r="D17" s="3"/>
      <c r="E17" s="3"/>
      <c r="F17" s="3"/>
    </row>
    <row r="19" ht="28" customHeight="1" spans="1:6">
      <c r="A19" s="2" t="s">
        <v>268</v>
      </c>
      <c r="B19" s="2"/>
      <c r="C19" s="2"/>
      <c r="D19" s="2"/>
      <c r="E19" s="2"/>
      <c r="F19" s="2"/>
    </row>
    <row r="20" ht="38" customHeight="1" spans="1:6">
      <c r="A20" s="3" t="s">
        <v>269</v>
      </c>
      <c r="B20" s="3"/>
      <c r="C20" s="3"/>
      <c r="D20" s="3"/>
      <c r="E20" s="3"/>
      <c r="F20" s="3"/>
    </row>
    <row r="21" ht="38" customHeight="1" spans="1:6">
      <c r="A21" s="3"/>
      <c r="B21" s="3"/>
      <c r="C21" s="3"/>
      <c r="D21" s="3"/>
      <c r="E21" s="3"/>
      <c r="F21" s="3"/>
    </row>
    <row r="23" ht="28" customHeight="1" spans="1:6">
      <c r="A23" s="2" t="s">
        <v>270</v>
      </c>
      <c r="B23" s="2"/>
      <c r="C23" s="2"/>
      <c r="D23" s="2"/>
      <c r="E23" s="2"/>
      <c r="F23" s="2"/>
    </row>
    <row r="24" ht="38" customHeight="1" spans="1:6">
      <c r="A24" s="3" t="s">
        <v>271</v>
      </c>
      <c r="B24" s="3"/>
      <c r="C24" s="3"/>
      <c r="D24" s="3"/>
      <c r="E24" s="3"/>
      <c r="F24" s="3"/>
    </row>
    <row r="25" ht="38" customHeight="1" spans="1:6">
      <c r="A25" s="3"/>
      <c r="B25" s="3"/>
      <c r="C25" s="3"/>
      <c r="D25" s="3"/>
      <c r="E25" s="3"/>
      <c r="F25" s="3"/>
    </row>
  </sheetData>
  <mergeCells count="13">
    <mergeCell ref="A1:F1"/>
    <mergeCell ref="A3:F3"/>
    <mergeCell ref="A7:F7"/>
    <mergeCell ref="A11:F11"/>
    <mergeCell ref="A15:F15"/>
    <mergeCell ref="A19:F19"/>
    <mergeCell ref="A23:F23"/>
    <mergeCell ref="A4:F5"/>
    <mergeCell ref="A8:F9"/>
    <mergeCell ref="A12:F13"/>
    <mergeCell ref="A16:F17"/>
    <mergeCell ref="A20:F21"/>
    <mergeCell ref="A24:F2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asive</cp:lastModifiedBy>
  <dcterms:created xsi:type="dcterms:W3CDTF">2026-10-07T11:12:43Z</dcterms:created>
  <dcterms:modified xsi:type="dcterms:W3CDTF">2026-10-13T17:54:23Z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2057-12.2.0.23206</vt:lpwstr>
  </property>
  <property fmtid="{D5CDD505-2E9C-101B-9397-08002B2CF9AE}" pid="3" name="ICV">
    <vt:lpwstr>40F7F366F0A74E18B01DEE4136DDB748_12</vt:lpwstr>
  </property>
</Properties>
</file>