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enny\Downloads\"/>
    </mc:Choice>
  </mc:AlternateContent>
  <xr:revisionPtr revIDLastSave="0" documentId="13_ncr:1_{3E879D52-DF18-4C01-A5BF-C4F87ED1B866}" xr6:coauthVersionLast="47" xr6:coauthVersionMax="47" xr10:uidLastSave="{00000000-0000-0000-0000-000000000000}"/>
  <bookViews>
    <workbookView xWindow="-108" yWindow="-108" windowWidth="23256" windowHeight="12456" tabRatio="500" xr2:uid="{00000000-000D-0000-FFFF-FFFF00000000}"/>
  </bookViews>
  <sheets>
    <sheet name="Risk Register" sheetId="1" r:id="rId1"/>
    <sheet name="Rating Scales" sheetId="2" r:id="rId2"/>
    <sheet name="Highest Risks Review" sheetId="3" r:id="rId3"/>
  </sheets>
  <definedNames>
    <definedName name="_xlnm._FilterDatabase" localSheetId="0" hidden="1">'Risk Register'!$A$3:$K$15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5" i="1" l="1"/>
  <c r="F15" i="1"/>
  <c r="G14" i="1"/>
  <c r="F14" i="1"/>
  <c r="G13" i="1"/>
  <c r="F13" i="1"/>
  <c r="G12" i="1"/>
  <c r="F12" i="1"/>
  <c r="G11" i="1"/>
  <c r="F11" i="1"/>
  <c r="G10" i="1"/>
  <c r="F10" i="1"/>
  <c r="G9" i="1"/>
  <c r="F9" i="1"/>
  <c r="G8" i="1"/>
  <c r="F8" i="1"/>
  <c r="G7" i="1"/>
  <c r="F7" i="1"/>
  <c r="G6" i="1"/>
  <c r="F6" i="1"/>
  <c r="G5" i="1"/>
  <c r="F5" i="1"/>
  <c r="G4" i="1"/>
  <c r="F4" i="1"/>
</calcChain>
</file>

<file path=xl/sharedStrings.xml><?xml version="1.0" encoding="utf-8"?>
<sst xmlns="http://schemas.openxmlformats.org/spreadsheetml/2006/main" count="143" uniqueCount="119">
  <si>
    <t>Project Risk Register</t>
  </si>
  <si>
    <t>Risk Score = Likelihood x Impact  |  1-3 Low  |  4-6 Medium  |  7-9 High</t>
  </si>
  <si>
    <t>Risk ID</t>
  </si>
  <si>
    <t>Risk Statement</t>
  </si>
  <si>
    <t>Category</t>
  </si>
  <si>
    <t>Likelihood (1-3)</t>
  </si>
  <si>
    <t>Impact (1-3)</t>
  </si>
  <si>
    <t>Score</t>
  </si>
  <si>
    <t>Level</t>
  </si>
  <si>
    <t>Mitigation</t>
  </si>
  <si>
    <t>Contingency</t>
  </si>
  <si>
    <t>Risk Owner</t>
  </si>
  <si>
    <t>Status</t>
  </si>
  <si>
    <t>R01</t>
  </si>
  <si>
    <t>Required PTO criteria, documentation and business rules may not be received from the stakeholder in time, resulting in incomplete or incorrect system requirements.</t>
  </si>
  <si>
    <t>Stakeholder</t>
  </si>
  <si>
    <t>Maintain regular communication with the stakeholder and document all confirmed requirements. Use the stakeholder meeting as the baseline and clearly mark outstanding requirements as TBD.</t>
  </si>
  <si>
    <t>Develop the system using confirmed requirements and update the SRS and system when the outstanding information is received.</t>
  </si>
  <si>
    <t>Project Manager / Stakeholder Liaison</t>
  </si>
  <si>
    <t>Open</t>
  </si>
  <si>
    <t>R02</t>
  </si>
  <si>
    <t>Municipal internal approval processes may delay confirmation of requirements, access to information, or future adoption of the system.</t>
  </si>
  <si>
    <t>Identify required municipal stakeholders early and document dependencies and approvals.</t>
  </si>
  <si>
    <t>Continue the project as an academic prototype while keeping the system designed for possible future municipal deployment.</t>
  </si>
  <si>
    <t>Project Manager / Stakeholder</t>
  </si>
  <si>
    <t>R03</t>
  </si>
  <si>
    <t>Sensitive beneficiary information such as ID numbers and personal details could be exposed or accessed by unauthorised users.</t>
  </si>
  <si>
    <t>Data and security</t>
  </si>
  <si>
    <t>Implement authentication, role-based access, secure database access and restrict sensitive information to authorised users.</t>
  </si>
  <si>
    <t>Remove/restrict exposed information, investigate the incident, change credentials and restore the system from a secure backup where necessary.</t>
  </si>
  <si>
    <t>Backend Developer / Security Lead</t>
  </si>
  <si>
    <t>R04</t>
  </si>
  <si>
    <t>Limited project funding may restrict the team's ability to use paid hosting, database services, SMS services or other required infrastructure.</t>
  </si>
  <si>
    <t>Resources</t>
  </si>
  <si>
    <t>Use cost-effective technologies such as Supabase and free/low-cost development resources during the academic phase. Monitor service limits and costs.</t>
  </si>
  <si>
    <t>Reduce non-essential functionality or use alternative approved services until funding or municipal infrastructure becomes available.</t>
  </si>
  <si>
    <t>Project Manager / Technical Lead</t>
  </si>
  <si>
    <t>R05</t>
  </si>
  <si>
    <t>The current PTO process is largely manual and spreadsheet-based, which may make it difficult for the team to accurately translate existing processes into system requirements.</t>
  </si>
  <si>
    <t>Quality</t>
  </si>
  <si>
    <t>Document the current PTO process and validate workflows with the stakeholder before implementation.</t>
  </si>
  <si>
    <t>Implement the confirmed core workflow first and revise additional workflows after stakeholder clarification.</t>
  </si>
  <si>
    <t>Business Analyst / Stakeholder Liaison</t>
  </si>
  <si>
    <t>R06</t>
  </si>
  <si>
    <t>Incorrect implementation of the six-month PTO validity and expiry process could result in beneficiaries receiving incorrect expiry dates or notifications.</t>
  </si>
  <si>
    <t>Define and test PTO start-date, expiry-date, renewal and notification rules before implementation.</t>
  </si>
  <si>
    <t>Correct affected records manually and issue corrected notifications while the system logic is fixed.</t>
  </si>
  <si>
    <t>Backend Developer / Tester</t>
  </si>
  <si>
    <t>R07</t>
  </si>
  <si>
    <t>SMS integration may not be available, affordable or technically compatible with the system before the project deadline.</t>
  </si>
  <si>
    <t>Technical</t>
  </si>
  <si>
    <t>Research the SMS integration requirements early and design the notification module so that the SMS provider can be changed.</t>
  </si>
  <si>
    <t>Use simulated notifications during the academic prototype and implement the actual SMS service when the required provider is confirmed.</t>
  </si>
  <si>
    <t>Integration Developer</t>
  </si>
  <si>
    <t>R08</t>
  </si>
  <si>
    <t>The proposed Supabase environment may not meet the municipality's future hosting, security, licensing or infrastructure requirements.</t>
  </si>
  <si>
    <t>Design the system with separation between the application and database layers and document the database structure for possible migration.</t>
  </si>
  <si>
    <t>Deploy the academic prototype using Supabase while preparing the system and database documentation for future migration to municipal infrastructure.</t>
  </si>
  <si>
    <t>Technical Lead</t>
  </si>
  <si>
    <t>R09</t>
  </si>
  <si>
    <t>The system may not scale effectively if large numbers of beneficiaries and sites are captured, such as the stakeholder's example of approximately 800 beneficiaries in one settlement.</t>
  </si>
  <si>
    <t>Use an appropriate database structure, indexed searches and efficient queries. Test the system using realistic amounts of data.</t>
  </si>
  <si>
    <t>Optimise database queries and system resources or restructure affected components before deployment.</t>
  </si>
  <si>
    <t>Backend Developer</t>
  </si>
  <si>
    <t>R10</t>
  </si>
  <si>
    <t>Incorrect beneficiary, site or PTO information entered into the system could lead to inaccurate monitoring and incorrect administrative decisions.</t>
  </si>
  <si>
    <t>Use input validation, required fields, confirmation screens and appropriate data formats for ID numbers, dates and site information.</t>
  </si>
  <si>
    <t>Allow authorised users to correct records and maintain an audit/history of important changes.</t>
  </si>
  <si>
    <t>Database Developer / Admin User</t>
  </si>
  <si>
    <t>R11</t>
  </si>
  <si>
    <t>The project team may not complete all planned functionality within the academic Phase One deadline.</t>
  </si>
  <si>
    <t>Schedule</t>
  </si>
  <si>
    <t>Prioritise core PTO functionality, assign tasks to team members and monitor progress against milestones.</t>
  </si>
  <si>
    <t>Deliver the minimum viable system containing the highest-priority requirements first and defer lower-priority features to a later phase.</t>
  </si>
  <si>
    <t>Project Manager</t>
  </si>
  <si>
    <t>R12</t>
  </si>
  <si>
    <t>Future migration from the student-developed system to municipal infrastructure may require changes because of municipal licensing, technology and governance requirements.</t>
  </si>
  <si>
    <t>Follow standard development practices, document the architecture and database, and avoid unnecessary dependency on project-specific infrastructure.</t>
  </si>
  <si>
    <t>Treat the academic system as a prototype and conduct a separate migration phase if the municipality approves continued development.</t>
  </si>
  <si>
    <t>Technical Lead / Stakeholder</t>
  </si>
  <si>
    <t>Note: Likelihood and Impact ratings were reassessed by the project team using the 1-3 scale in Activity 2.2, consistent with the priority order identified during stakeholder analysis.</t>
  </si>
  <si>
    <t>Risk Rating Scales</t>
  </si>
  <si>
    <t>Likelihood</t>
  </si>
  <si>
    <t>Rating</t>
  </si>
  <si>
    <t>Meaning</t>
  </si>
  <si>
    <t>Unlikely</t>
  </si>
  <si>
    <t>The risk is not expected to happen</t>
  </si>
  <si>
    <t>Possible</t>
  </si>
  <si>
    <t>The risk could happen</t>
  </si>
  <si>
    <t>Likely</t>
  </si>
  <si>
    <t>There is a strong possibility that the risk will happen</t>
  </si>
  <si>
    <t>Impact</t>
  </si>
  <si>
    <t>Low</t>
  </si>
  <si>
    <t>Small effect on the project</t>
  </si>
  <si>
    <t>Medium</t>
  </si>
  <si>
    <t>Noticeable effect requiring action</t>
  </si>
  <si>
    <t>High</t>
  </si>
  <si>
    <t>Serious effect on project completion or quality</t>
  </si>
  <si>
    <t>Risk Score = Likelihood x Impact</t>
  </si>
  <si>
    <t>Risk Score</t>
  </si>
  <si>
    <t>Risk Level</t>
  </si>
  <si>
    <t>1 - 3</t>
  </si>
  <si>
    <t>4 - 6</t>
  </si>
  <si>
    <t>7 - 9</t>
  </si>
  <si>
    <t>High risks require particular attention from the group.</t>
  </si>
  <si>
    <t>Review of the Three Highest Risks</t>
  </si>
  <si>
    <t>Highest Risk</t>
  </si>
  <si>
    <t>Why Is This Important?</t>
  </si>
  <si>
    <t>What Must the Group Do Now?</t>
  </si>
  <si>
    <t>1. R01 - Delayed or Incomplete Stakeholder Requirements</t>
  </si>
  <si>
    <t>This is currently the highest project risk. The stakeholder indicated that additional information is still required regarding the PTO process, documentation, front-end requirements and individual beneficiary information, and the complete eligibility criteria have not yet been confirmed.</t>
  </si>
  <si>
    <t>Continue requesting the outstanding requirements from the stakeholder, document all confirmed requirements as the baseline, clearly mark outstanding items as TBD, and proceed with development using the confirmed requirements.</t>
  </si>
  <si>
    <t>2. R02 - Municipal Approval and Internal Processes</t>
  </si>
  <si>
    <t>The municipality has internal processes that must be followed before the project can be adopted or continued within the organisation, involving stakeholders such as the Chief Technology Officer. Municipal licensing, governance and public-accountability requirements could prevent the municipality from simply adopting the project's freeware solution.</t>
  </si>
  <si>
    <t>Treat municipal deployment as a separate future phase while continuing to develop the academic prototype using the confirmed requirements, and identify the municipal stakeholders who must approve or validate the system.</t>
  </si>
  <si>
    <t>3. R11 - Failure to Complete the Project Within the Academic Deadline</t>
  </si>
  <si>
    <t>The team has a limited academic deadline for Phase One, due by the end of August. The project also depends on information that may only arrive after development has already started.</t>
  </si>
  <si>
    <t>Prioritise core PTO functionality and divide development tasks among team members. Complete the Minimum Viable Product (MVP) first and defer lower-priority functionality to a later development phase.</t>
  </si>
  <si>
    <t>Overall Project Risk: HIGH - two of the highest risks (R01, R02) relate to stakeholder requirements and municipal processes and should receive immediate attention, as they affect requirements, design and future deployment of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</si>
</sst>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FFFFFF"/>
      <name val="Arial"/>
      <charset val="1"/>
    </font>
    <font>
      <i/>
      <sz val="10"/>
      <color rgb="FF1F3864"/>
      <name val="Arial"/>
      <charset val="1"/>
    </font>
    <font>
      <b/>
      <sz val="11"/>
      <color rgb="FFFFFFFF"/>
      <name val="Arial"/>
      <charset val="1"/>
    </font>
    <font>
      <sz val="10"/>
      <name val="Arial"/>
      <charset val="1"/>
    </font>
    <font>
      <i/>
      <sz val="9"/>
      <color rgb="FF666666"/>
      <name val="Arial"/>
      <charset val="1"/>
    </font>
    <font>
      <b/>
      <sz val="12"/>
      <color rgb="FF1F3864"/>
      <name val="Arial"/>
      <charset val="1"/>
    </font>
    <font>
      <b/>
      <i/>
      <sz val="11"/>
      <name val="Arial"/>
      <charset val="1"/>
    </font>
    <font>
      <b/>
      <sz val="11"/>
      <name val="Arial"/>
      <charset val="1"/>
    </font>
    <font>
      <i/>
      <sz val="10"/>
      <name val="Arial"/>
      <charset val="1"/>
    </font>
    <font>
      <b/>
      <sz val="10"/>
      <name val="Arial"/>
      <charset val="1"/>
    </font>
    <font>
      <b/>
      <i/>
      <sz val="10"/>
      <color rgb="FF1F3864"/>
      <name val="Arial"/>
      <charset val="1"/>
    </font>
  </fonts>
  <fills count="8">
    <fill>
      <patternFill patternType="none"/>
    </fill>
    <fill>
      <patternFill patternType="gray125"/>
    </fill>
    <fill>
      <patternFill patternType="solid">
        <fgColor rgb="FF1F3864"/>
        <bgColor rgb="FF333333"/>
      </patternFill>
    </fill>
    <fill>
      <patternFill patternType="solid">
        <fgColor rgb="FFFFFFFF"/>
        <bgColor rgb="FFF2F2F2"/>
      </patternFill>
    </fill>
    <fill>
      <patternFill patternType="solid">
        <fgColor rgb="FFF2F2F2"/>
        <bgColor rgb="FFFFFFFF"/>
      </patternFill>
    </fill>
    <fill>
      <patternFill patternType="solid">
        <fgColor rgb="FF63BE7B"/>
        <bgColor rgb="FF339966"/>
      </patternFill>
    </fill>
    <fill>
      <patternFill patternType="solid">
        <fgColor rgb="FFFFC000"/>
        <bgColor rgb="FFFF9900"/>
      </patternFill>
    </fill>
    <fill>
      <patternFill patternType="solid">
        <fgColor rgb="FFF8696B"/>
        <bgColor rgb="FFFF66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1" fillId="0" borderId="0" xfId="0" applyFont="1" applyAlignment="1">
      <alignment vertical="top" wrapText="1"/>
    </xf>
    <xf numFmtId="0" fontId="5" fillId="0" borderId="0" xfId="0" applyFont="1"/>
    <xf numFmtId="0" fontId="2" fillId="0" borderId="0" xfId="0" applyFont="1" applyAlignment="1">
      <alignment horizontal="center" vertical="center"/>
    </xf>
    <xf numFmtId="0" fontId="1" fillId="2" borderId="0" xfId="0" applyFont="1" applyFill="1" applyAlignment="1">
      <alignment horizontal="center"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top"/>
    </xf>
    <xf numFmtId="0" fontId="4" fillId="3" borderId="1" xfId="0" applyFont="1" applyFill="1" applyBorder="1" applyAlignment="1">
      <alignment horizontal="left" vertical="top" wrapText="1"/>
    </xf>
    <xf numFmtId="0" fontId="4" fillId="3" borderId="1" xfId="0" applyFont="1" applyFill="1" applyBorder="1" applyAlignment="1">
      <alignment horizontal="left" vertical="top"/>
    </xf>
    <xf numFmtId="0" fontId="4" fillId="4" borderId="1" xfId="0" applyFont="1" applyFill="1" applyBorder="1" applyAlignment="1">
      <alignment horizontal="center" vertical="top"/>
    </xf>
    <xf numFmtId="0" fontId="4" fillId="4" borderId="1" xfId="0" applyFont="1" applyFill="1" applyBorder="1" applyAlignment="1">
      <alignment horizontal="left" vertical="top" wrapText="1"/>
    </xf>
    <xf numFmtId="0" fontId="4" fillId="4" borderId="1" xfId="0" applyFont="1" applyFill="1" applyBorder="1" applyAlignment="1">
      <alignment horizontal="left" vertical="top"/>
    </xf>
    <xf numFmtId="0" fontId="6" fillId="0" borderId="0" xfId="0" applyFont="1"/>
    <xf numFmtId="0" fontId="3" fillId="2" borderId="1" xfId="0" applyFont="1" applyFill="1" applyBorder="1" applyAlignment="1">
      <alignment horizontal="center"/>
    </xf>
    <xf numFmtId="0" fontId="4" fillId="3" borderId="1" xfId="0" applyFont="1" applyFill="1" applyBorder="1" applyAlignment="1">
      <alignment horizontal="center"/>
    </xf>
    <xf numFmtId="0" fontId="4" fillId="3" borderId="1" xfId="0" applyFont="1" applyFill="1" applyBorder="1"/>
    <xf numFmtId="0" fontId="4" fillId="4" borderId="1" xfId="0" applyFont="1" applyFill="1" applyBorder="1" applyAlignment="1">
      <alignment horizontal="center"/>
    </xf>
    <xf numFmtId="0" fontId="4" fillId="4" borderId="1" xfId="0" applyFont="1" applyFill="1" applyBorder="1"/>
    <xf numFmtId="0" fontId="7" fillId="0" borderId="0" xfId="0" applyFont="1"/>
    <xf numFmtId="0" fontId="4" fillId="0" borderId="1" xfId="0" applyFont="1" applyBorder="1" applyAlignment="1">
      <alignment horizontal="center"/>
    </xf>
    <xf numFmtId="0" fontId="8" fillId="5" borderId="1" xfId="0" applyFont="1" applyFill="1" applyBorder="1" applyAlignment="1">
      <alignment horizontal="center"/>
    </xf>
    <xf numFmtId="0" fontId="8" fillId="6" borderId="1" xfId="0" applyFont="1" applyFill="1" applyBorder="1" applyAlignment="1">
      <alignment horizontal="center"/>
    </xf>
    <xf numFmtId="0" fontId="8" fillId="7" borderId="1" xfId="0" applyFont="1" applyFill="1" applyBorder="1" applyAlignment="1">
      <alignment horizontal="center"/>
    </xf>
    <xf numFmtId="0" fontId="9" fillId="0" borderId="0" xfId="0" applyFont="1"/>
    <xf numFmtId="0" fontId="10" fillId="3" borderId="1" xfId="0" applyFont="1" applyFill="1" applyBorder="1" applyAlignment="1">
      <alignment horizontal="left" vertical="top" wrapText="1"/>
    </xf>
    <xf numFmtId="0" fontId="10" fillId="4" borderId="1" xfId="0" applyFont="1" applyFill="1" applyBorder="1" applyAlignment="1">
      <alignment horizontal="left" vertical="top" wrapText="1"/>
    </xf>
  </cellXfs>
  <cellStyles count="1">
    <cellStyle name="Normal" xfId="0" builtinId="0"/>
  </cellStyles>
  <dxfs count="6">
    <dxf>
      <font>
        <b/>
        <name val="Arial"/>
        <charset val="1"/>
      </font>
      <fill>
        <patternFill>
          <bgColor rgb="FF63BE7B"/>
        </patternFill>
      </fill>
    </dxf>
    <dxf>
      <font>
        <b/>
        <name val="Arial"/>
        <charset val="1"/>
      </font>
      <fill>
        <patternFill>
          <bgColor rgb="FFFFC000"/>
        </patternFill>
      </fill>
    </dxf>
    <dxf>
      <font>
        <b/>
        <name val="Arial"/>
        <charset val="1"/>
      </font>
      <fill>
        <patternFill>
          <bgColor rgb="FFF8696B"/>
        </patternFill>
      </fill>
    </dxf>
    <dxf>
      <fill>
        <patternFill>
          <bgColor rgb="FF63BE7B"/>
        </patternFill>
      </fill>
    </dxf>
    <dxf>
      <fill>
        <patternFill>
          <bgColor rgb="FFFFC000"/>
        </patternFill>
      </fill>
    </dxf>
    <dxf>
      <fill>
        <patternFill>
          <bgColor rgb="FFF8696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8696B"/>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63BE7B"/>
      <rgbColor rgb="FF99CC00"/>
      <rgbColor rgb="FFFFC0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showGridLines="0" tabSelected="1" zoomScaleNormal="100" workbookViewId="0">
      <pane ySplit="3" topLeftCell="A4" activePane="bottomLeft" state="frozen"/>
      <selection pane="bottomLeft" sqref="A1:K1"/>
    </sheetView>
  </sheetViews>
  <sheetFormatPr defaultColWidth="8.6640625" defaultRowHeight="14.4" x14ac:dyDescent="0.3"/>
  <cols>
    <col min="1" max="1" width="8" customWidth="1"/>
    <col min="2" max="2" width="42" customWidth="1"/>
    <col min="3" max="3" width="16" customWidth="1"/>
    <col min="4" max="4" width="13" customWidth="1"/>
    <col min="5" max="5" width="10" customWidth="1"/>
    <col min="6" max="6" width="8" customWidth="1"/>
    <col min="7" max="7" width="9" customWidth="1"/>
    <col min="8" max="9" width="34" customWidth="1"/>
    <col min="10" max="10" width="22" customWidth="1"/>
    <col min="11" max="11" width="12" customWidth="1"/>
  </cols>
  <sheetData>
    <row r="1" spans="1:11" ht="27.75" customHeight="1" x14ac:dyDescent="0.3">
      <c r="A1" s="4" t="s">
        <v>0</v>
      </c>
      <c r="B1" s="4"/>
      <c r="C1" s="4"/>
      <c r="D1" s="4"/>
      <c r="E1" s="4"/>
      <c r="F1" s="4"/>
      <c r="G1" s="4"/>
      <c r="H1" s="4"/>
      <c r="I1" s="4"/>
      <c r="J1" s="4"/>
      <c r="K1" s="4"/>
    </row>
    <row r="2" spans="1:11" ht="18" customHeight="1" x14ac:dyDescent="0.3">
      <c r="A2" s="3" t="s">
        <v>1</v>
      </c>
      <c r="B2" s="3"/>
      <c r="C2" s="3"/>
      <c r="D2" s="3"/>
      <c r="E2" s="3"/>
      <c r="F2" s="3"/>
      <c r="G2" s="3"/>
      <c r="H2" s="3"/>
      <c r="I2" s="3"/>
      <c r="J2" s="3"/>
      <c r="K2" s="3"/>
    </row>
    <row r="3" spans="1:11" ht="30" customHeight="1" x14ac:dyDescent="0.3">
      <c r="A3" s="5" t="s">
        <v>2</v>
      </c>
      <c r="B3" s="5" t="s">
        <v>3</v>
      </c>
      <c r="C3" s="5" t="s">
        <v>4</v>
      </c>
      <c r="D3" s="5" t="s">
        <v>5</v>
      </c>
      <c r="E3" s="5" t="s">
        <v>6</v>
      </c>
      <c r="F3" s="5" t="s">
        <v>7</v>
      </c>
      <c r="G3" s="5" t="s">
        <v>8</v>
      </c>
      <c r="H3" s="5" t="s">
        <v>9</v>
      </c>
      <c r="I3" s="5" t="s">
        <v>10</v>
      </c>
      <c r="J3" s="5" t="s">
        <v>11</v>
      </c>
      <c r="K3" s="5" t="s">
        <v>12</v>
      </c>
    </row>
    <row r="4" spans="1:11" ht="57.75" customHeight="1" x14ac:dyDescent="0.3">
      <c r="A4" s="6" t="s">
        <v>13</v>
      </c>
      <c r="B4" s="7" t="s">
        <v>14</v>
      </c>
      <c r="C4" s="8" t="s">
        <v>15</v>
      </c>
      <c r="D4" s="6">
        <v>3</v>
      </c>
      <c r="E4" s="6">
        <v>3</v>
      </c>
      <c r="F4" s="6">
        <f t="shared" ref="F4:F15" si="0">D4*E4</f>
        <v>9</v>
      </c>
      <c r="G4" s="6" t="str">
        <f t="shared" ref="G4:G15" si="1">IF(F4&gt;=7,"High",IF(F4&gt;=4,"Medium","Low"))</f>
        <v>High</v>
      </c>
      <c r="H4" s="7" t="s">
        <v>16</v>
      </c>
      <c r="I4" s="7" t="s">
        <v>17</v>
      </c>
      <c r="J4" s="8" t="s">
        <v>18</v>
      </c>
      <c r="K4" s="8" t="s">
        <v>19</v>
      </c>
    </row>
    <row r="5" spans="1:11" ht="57.75" customHeight="1" x14ac:dyDescent="0.3">
      <c r="A5" s="9" t="s">
        <v>20</v>
      </c>
      <c r="B5" s="10" t="s">
        <v>21</v>
      </c>
      <c r="C5" s="11" t="s">
        <v>15</v>
      </c>
      <c r="D5" s="9">
        <v>3</v>
      </c>
      <c r="E5" s="9">
        <v>3</v>
      </c>
      <c r="F5" s="9">
        <f t="shared" si="0"/>
        <v>9</v>
      </c>
      <c r="G5" s="9" t="str">
        <f t="shared" si="1"/>
        <v>High</v>
      </c>
      <c r="H5" s="10" t="s">
        <v>22</v>
      </c>
      <c r="I5" s="10" t="s">
        <v>23</v>
      </c>
      <c r="J5" s="11" t="s">
        <v>24</v>
      </c>
      <c r="K5" s="11" t="s">
        <v>19</v>
      </c>
    </row>
    <row r="6" spans="1:11" ht="57.75" customHeight="1" x14ac:dyDescent="0.3">
      <c r="A6" s="6" t="s">
        <v>25</v>
      </c>
      <c r="B6" s="7" t="s">
        <v>26</v>
      </c>
      <c r="C6" s="8" t="s">
        <v>27</v>
      </c>
      <c r="D6" s="6">
        <v>2</v>
      </c>
      <c r="E6" s="6">
        <v>2</v>
      </c>
      <c r="F6" s="6">
        <f t="shared" si="0"/>
        <v>4</v>
      </c>
      <c r="G6" s="6" t="str">
        <f t="shared" si="1"/>
        <v>Medium</v>
      </c>
      <c r="H6" s="7" t="s">
        <v>28</v>
      </c>
      <c r="I6" s="7" t="s">
        <v>29</v>
      </c>
      <c r="J6" s="8" t="s">
        <v>30</v>
      </c>
      <c r="K6" s="8" t="s">
        <v>19</v>
      </c>
    </row>
    <row r="7" spans="1:11" ht="57.75" customHeight="1" x14ac:dyDescent="0.3">
      <c r="A7" s="9" t="s">
        <v>31</v>
      </c>
      <c r="B7" s="10" t="s">
        <v>32</v>
      </c>
      <c r="C7" s="11" t="s">
        <v>33</v>
      </c>
      <c r="D7" s="9">
        <v>2</v>
      </c>
      <c r="E7" s="9">
        <v>2</v>
      </c>
      <c r="F7" s="9">
        <f t="shared" si="0"/>
        <v>4</v>
      </c>
      <c r="G7" s="9" t="str">
        <f t="shared" si="1"/>
        <v>Medium</v>
      </c>
      <c r="H7" s="10" t="s">
        <v>34</v>
      </c>
      <c r="I7" s="10" t="s">
        <v>35</v>
      </c>
      <c r="J7" s="11" t="s">
        <v>36</v>
      </c>
      <c r="K7" s="11" t="s">
        <v>19</v>
      </c>
    </row>
    <row r="8" spans="1:11" ht="57.75" customHeight="1" x14ac:dyDescent="0.3">
      <c r="A8" s="6" t="s">
        <v>37</v>
      </c>
      <c r="B8" s="7" t="s">
        <v>38</v>
      </c>
      <c r="C8" s="8" t="s">
        <v>39</v>
      </c>
      <c r="D8" s="6">
        <v>2</v>
      </c>
      <c r="E8" s="6">
        <v>2</v>
      </c>
      <c r="F8" s="6">
        <f t="shared" si="0"/>
        <v>4</v>
      </c>
      <c r="G8" s="6" t="str">
        <f t="shared" si="1"/>
        <v>Medium</v>
      </c>
      <c r="H8" s="7" t="s">
        <v>40</v>
      </c>
      <c r="I8" s="7" t="s">
        <v>41</v>
      </c>
      <c r="J8" s="8" t="s">
        <v>42</v>
      </c>
      <c r="K8" s="8" t="s">
        <v>19</v>
      </c>
    </row>
    <row r="9" spans="1:11" ht="57.75" customHeight="1" x14ac:dyDescent="0.3">
      <c r="A9" s="9" t="s">
        <v>43</v>
      </c>
      <c r="B9" s="10" t="s">
        <v>44</v>
      </c>
      <c r="C9" s="11" t="s">
        <v>39</v>
      </c>
      <c r="D9" s="9">
        <v>2</v>
      </c>
      <c r="E9" s="9">
        <v>2</v>
      </c>
      <c r="F9" s="9">
        <f t="shared" si="0"/>
        <v>4</v>
      </c>
      <c r="G9" s="9" t="str">
        <f t="shared" si="1"/>
        <v>Medium</v>
      </c>
      <c r="H9" s="10" t="s">
        <v>45</v>
      </c>
      <c r="I9" s="10" t="s">
        <v>46</v>
      </c>
      <c r="J9" s="11" t="s">
        <v>47</v>
      </c>
      <c r="K9" s="11" t="s">
        <v>19</v>
      </c>
    </row>
    <row r="10" spans="1:11" ht="57.75" customHeight="1" x14ac:dyDescent="0.3">
      <c r="A10" s="6" t="s">
        <v>48</v>
      </c>
      <c r="B10" s="7" t="s">
        <v>49</v>
      </c>
      <c r="C10" s="8" t="s">
        <v>50</v>
      </c>
      <c r="D10" s="6">
        <v>2</v>
      </c>
      <c r="E10" s="6">
        <v>2</v>
      </c>
      <c r="F10" s="6">
        <f t="shared" si="0"/>
        <v>4</v>
      </c>
      <c r="G10" s="6" t="str">
        <f t="shared" si="1"/>
        <v>Medium</v>
      </c>
      <c r="H10" s="7" t="s">
        <v>51</v>
      </c>
      <c r="I10" s="7" t="s">
        <v>52</v>
      </c>
      <c r="J10" s="8" t="s">
        <v>53</v>
      </c>
      <c r="K10" s="8" t="s">
        <v>19</v>
      </c>
    </row>
    <row r="11" spans="1:11" ht="57.75" customHeight="1" x14ac:dyDescent="0.3">
      <c r="A11" s="9" t="s">
        <v>54</v>
      </c>
      <c r="B11" s="10" t="s">
        <v>55</v>
      </c>
      <c r="C11" s="11" t="s">
        <v>50</v>
      </c>
      <c r="D11" s="9">
        <v>1</v>
      </c>
      <c r="E11" s="9">
        <v>2</v>
      </c>
      <c r="F11" s="9">
        <f t="shared" si="0"/>
        <v>2</v>
      </c>
      <c r="G11" s="9" t="str">
        <f t="shared" si="1"/>
        <v>Low</v>
      </c>
      <c r="H11" s="10" t="s">
        <v>56</v>
      </c>
      <c r="I11" s="10" t="s">
        <v>57</v>
      </c>
      <c r="J11" s="11" t="s">
        <v>58</v>
      </c>
      <c r="K11" s="11" t="s">
        <v>19</v>
      </c>
    </row>
    <row r="12" spans="1:11" ht="57.75" customHeight="1" x14ac:dyDescent="0.3">
      <c r="A12" s="6" t="s">
        <v>59</v>
      </c>
      <c r="B12" s="7" t="s">
        <v>60</v>
      </c>
      <c r="C12" s="8" t="s">
        <v>50</v>
      </c>
      <c r="D12" s="6">
        <v>2</v>
      </c>
      <c r="E12" s="6">
        <v>2</v>
      </c>
      <c r="F12" s="6">
        <f t="shared" si="0"/>
        <v>4</v>
      </c>
      <c r="G12" s="6" t="str">
        <f t="shared" si="1"/>
        <v>Medium</v>
      </c>
      <c r="H12" s="7" t="s">
        <v>61</v>
      </c>
      <c r="I12" s="7" t="s">
        <v>62</v>
      </c>
      <c r="J12" s="8" t="s">
        <v>63</v>
      </c>
      <c r="K12" s="8" t="s">
        <v>19</v>
      </c>
    </row>
    <row r="13" spans="1:11" ht="57.75" customHeight="1" x14ac:dyDescent="0.3">
      <c r="A13" s="9" t="s">
        <v>64</v>
      </c>
      <c r="B13" s="10" t="s">
        <v>65</v>
      </c>
      <c r="C13" s="11" t="s">
        <v>39</v>
      </c>
      <c r="D13" s="9">
        <v>2</v>
      </c>
      <c r="E13" s="9">
        <v>2</v>
      </c>
      <c r="F13" s="9">
        <f t="shared" si="0"/>
        <v>4</v>
      </c>
      <c r="G13" s="9" t="str">
        <f t="shared" si="1"/>
        <v>Medium</v>
      </c>
      <c r="H13" s="10" t="s">
        <v>66</v>
      </c>
      <c r="I13" s="10" t="s">
        <v>67</v>
      </c>
      <c r="J13" s="11" t="s">
        <v>68</v>
      </c>
      <c r="K13" s="11" t="s">
        <v>19</v>
      </c>
    </row>
    <row r="14" spans="1:11" ht="57.75" customHeight="1" x14ac:dyDescent="0.3">
      <c r="A14" s="6" t="s">
        <v>69</v>
      </c>
      <c r="B14" s="7" t="s">
        <v>70</v>
      </c>
      <c r="C14" s="8" t="s">
        <v>71</v>
      </c>
      <c r="D14" s="6">
        <v>3</v>
      </c>
      <c r="E14" s="6">
        <v>2</v>
      </c>
      <c r="F14" s="6">
        <f t="shared" si="0"/>
        <v>6</v>
      </c>
      <c r="G14" s="6" t="str">
        <f t="shared" si="1"/>
        <v>Medium</v>
      </c>
      <c r="H14" s="7" t="s">
        <v>72</v>
      </c>
      <c r="I14" s="7" t="s">
        <v>73</v>
      </c>
      <c r="J14" s="8" t="s">
        <v>74</v>
      </c>
      <c r="K14" s="8" t="s">
        <v>19</v>
      </c>
    </row>
    <row r="15" spans="1:11" ht="57.75" customHeight="1" x14ac:dyDescent="0.3">
      <c r="A15" s="9" t="s">
        <v>75</v>
      </c>
      <c r="B15" s="10" t="s">
        <v>76</v>
      </c>
      <c r="C15" s="11" t="s">
        <v>50</v>
      </c>
      <c r="D15" s="9">
        <v>1</v>
      </c>
      <c r="E15" s="9">
        <v>2</v>
      </c>
      <c r="F15" s="9">
        <f t="shared" si="0"/>
        <v>2</v>
      </c>
      <c r="G15" s="9" t="str">
        <f t="shared" si="1"/>
        <v>Low</v>
      </c>
      <c r="H15" s="10" t="s">
        <v>77</v>
      </c>
      <c r="I15" s="10" t="s">
        <v>78</v>
      </c>
      <c r="J15" s="11" t="s">
        <v>79</v>
      </c>
      <c r="K15" s="11" t="s">
        <v>19</v>
      </c>
    </row>
    <row r="17" spans="1:11" x14ac:dyDescent="0.3">
      <c r="A17" s="2" t="s">
        <v>80</v>
      </c>
      <c r="B17" s="2"/>
      <c r="C17" s="2"/>
      <c r="D17" s="2"/>
      <c r="E17" s="2"/>
      <c r="F17" s="2"/>
      <c r="G17" s="2"/>
      <c r="H17" s="2"/>
      <c r="I17" s="2"/>
      <c r="J17" s="2"/>
      <c r="K17" s="2"/>
    </row>
  </sheetData>
  <autoFilter ref="A3:K15" xr:uid="{00000000-0009-0000-0000-000000000000}"/>
  <mergeCells count="3">
    <mergeCell ref="A1:K1"/>
    <mergeCell ref="A2:K2"/>
    <mergeCell ref="A17:K17"/>
  </mergeCells>
  <conditionalFormatting sqref="F4:F15">
    <cfRule type="expression" dxfId="5" priority="5">
      <formula>F4&gt;=7</formula>
    </cfRule>
    <cfRule type="expression" dxfId="4" priority="6">
      <formula>AND(F4&gt;=4,F4&lt;7)</formula>
    </cfRule>
    <cfRule type="expression" dxfId="3" priority="7">
      <formula>F4&lt;4</formula>
    </cfRule>
  </conditionalFormatting>
  <conditionalFormatting sqref="G4:G15">
    <cfRule type="expression" dxfId="2" priority="2">
      <formula>G4="High"</formula>
    </cfRule>
    <cfRule type="expression" dxfId="1" priority="3">
      <formula>G4="Medium"</formula>
    </cfRule>
    <cfRule type="expression" dxfId="0" priority="4">
      <formula>G4="Low"</formula>
    </cfRule>
  </conditionalFormatting>
  <dataValidations count="2">
    <dataValidation type="whole" showErrorMessage="1" errorTitle="Invalid entry" error="Enter a whole number from 1 to 3." sqref="D4:E15" xr:uid="{00000000-0002-0000-0000-000000000000}">
      <formula1>1</formula1>
      <formula2>3</formula2>
    </dataValidation>
    <dataValidation type="list" showErrorMessage="1" sqref="K4:K15" xr:uid="{00000000-0002-0000-0000-000001000000}">
      <formula1>"Open,Monitoring,Occurred,Closed"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
  <sheetViews>
    <sheetView showGridLines="0" zoomScaleNormal="100" workbookViewId="0">
      <selection sqref="A1:C1"/>
    </sheetView>
  </sheetViews>
  <sheetFormatPr defaultColWidth="8.6640625" defaultRowHeight="14.4" x14ac:dyDescent="0.3"/>
  <cols>
    <col min="1" max="2" width="16" customWidth="1"/>
    <col min="3" max="3" width="46" customWidth="1"/>
  </cols>
  <sheetData>
    <row r="1" spans="1:3" ht="25.5" customHeight="1" x14ac:dyDescent="0.3">
      <c r="A1" s="4" t="s">
        <v>81</v>
      </c>
      <c r="B1" s="4"/>
      <c r="C1" s="4"/>
    </row>
    <row r="3" spans="1:3" ht="15.6" x14ac:dyDescent="0.3">
      <c r="A3" s="12" t="s">
        <v>82</v>
      </c>
    </row>
    <row r="4" spans="1:3" x14ac:dyDescent="0.3">
      <c r="A4" s="13" t="s">
        <v>83</v>
      </c>
      <c r="B4" s="13" t="s">
        <v>82</v>
      </c>
      <c r="C4" s="13" t="s">
        <v>84</v>
      </c>
    </row>
    <row r="5" spans="1:3" x14ac:dyDescent="0.3">
      <c r="A5" s="14">
        <v>1</v>
      </c>
      <c r="B5" s="15" t="s">
        <v>85</v>
      </c>
      <c r="C5" s="15" t="s">
        <v>86</v>
      </c>
    </row>
    <row r="6" spans="1:3" x14ac:dyDescent="0.3">
      <c r="A6" s="16">
        <v>2</v>
      </c>
      <c r="B6" s="17" t="s">
        <v>87</v>
      </c>
      <c r="C6" s="17" t="s">
        <v>88</v>
      </c>
    </row>
    <row r="7" spans="1:3" x14ac:dyDescent="0.3">
      <c r="A7" s="14">
        <v>3</v>
      </c>
      <c r="B7" s="15" t="s">
        <v>89</v>
      </c>
      <c r="C7" s="15" t="s">
        <v>90</v>
      </c>
    </row>
    <row r="9" spans="1:3" ht="15.6" x14ac:dyDescent="0.3">
      <c r="A9" s="12" t="s">
        <v>91</v>
      </c>
    </row>
    <row r="10" spans="1:3" x14ac:dyDescent="0.3">
      <c r="A10" s="13" t="s">
        <v>83</v>
      </c>
      <c r="B10" s="13" t="s">
        <v>91</v>
      </c>
      <c r="C10" s="13" t="s">
        <v>84</v>
      </c>
    </row>
    <row r="11" spans="1:3" x14ac:dyDescent="0.3">
      <c r="A11" s="14">
        <v>1</v>
      </c>
      <c r="B11" s="15" t="s">
        <v>92</v>
      </c>
      <c r="C11" s="15" t="s">
        <v>93</v>
      </c>
    </row>
    <row r="12" spans="1:3" x14ac:dyDescent="0.3">
      <c r="A12" s="16">
        <v>2</v>
      </c>
      <c r="B12" s="17" t="s">
        <v>94</v>
      </c>
      <c r="C12" s="17" t="s">
        <v>95</v>
      </c>
    </row>
    <row r="13" spans="1:3" x14ac:dyDescent="0.3">
      <c r="A13" s="14">
        <v>3</v>
      </c>
      <c r="B13" s="15" t="s">
        <v>96</v>
      </c>
      <c r="C13" s="15" t="s">
        <v>97</v>
      </c>
    </row>
    <row r="16" spans="1:3" x14ac:dyDescent="0.3">
      <c r="A16" s="18" t="s">
        <v>98</v>
      </c>
    </row>
    <row r="18" spans="1:2" x14ac:dyDescent="0.3">
      <c r="A18" s="13" t="s">
        <v>99</v>
      </c>
      <c r="B18" s="13" t="s">
        <v>100</v>
      </c>
    </row>
    <row r="19" spans="1:2" x14ac:dyDescent="0.3">
      <c r="A19" s="19" t="s">
        <v>101</v>
      </c>
      <c r="B19" s="20" t="s">
        <v>92</v>
      </c>
    </row>
    <row r="20" spans="1:2" x14ac:dyDescent="0.3">
      <c r="A20" s="19" t="s">
        <v>102</v>
      </c>
      <c r="B20" s="21" t="s">
        <v>94</v>
      </c>
    </row>
    <row r="21" spans="1:2" x14ac:dyDescent="0.3">
      <c r="A21" s="19" t="s">
        <v>103</v>
      </c>
      <c r="B21" s="22" t="s">
        <v>96</v>
      </c>
    </row>
    <row r="23" spans="1:2" x14ac:dyDescent="0.3">
      <c r="A23" s="23" t="s">
        <v>104</v>
      </c>
    </row>
  </sheetData>
  <mergeCells count="1">
    <mergeCell ref="A1:C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showGridLines="0" topLeftCell="A3" zoomScaleNormal="100" workbookViewId="0">
      <selection sqref="A1:C1"/>
    </sheetView>
  </sheetViews>
  <sheetFormatPr defaultColWidth="8.6640625" defaultRowHeight="14.4" x14ac:dyDescent="0.3"/>
  <cols>
    <col min="1" max="1" width="34" customWidth="1"/>
    <col min="2" max="3" width="46" customWidth="1"/>
  </cols>
  <sheetData>
    <row r="1" spans="1:3" ht="25.5" customHeight="1" x14ac:dyDescent="0.3">
      <c r="A1" s="4" t="s">
        <v>105</v>
      </c>
      <c r="B1" s="4"/>
      <c r="C1" s="4"/>
    </row>
    <row r="3" spans="1:3" ht="25.5" customHeight="1" x14ac:dyDescent="0.3">
      <c r="A3" s="5" t="s">
        <v>106</v>
      </c>
      <c r="B3" s="5" t="s">
        <v>107</v>
      </c>
      <c r="C3" s="5" t="s">
        <v>108</v>
      </c>
    </row>
    <row r="4" spans="1:3" ht="94.5" customHeight="1" x14ac:dyDescent="0.3">
      <c r="A4" s="24" t="s">
        <v>109</v>
      </c>
      <c r="B4" s="7" t="s">
        <v>110</v>
      </c>
      <c r="C4" s="7" t="s">
        <v>111</v>
      </c>
    </row>
    <row r="5" spans="1:3" ht="94.5" customHeight="1" x14ac:dyDescent="0.3">
      <c r="A5" s="25" t="s">
        <v>112</v>
      </c>
      <c r="B5" s="10" t="s">
        <v>113</v>
      </c>
      <c r="C5" s="10" t="s">
        <v>114</v>
      </c>
    </row>
    <row r="6" spans="1:3" ht="94.5" customHeight="1" x14ac:dyDescent="0.3">
      <c r="A6" s="24" t="s">
        <v>115</v>
      </c>
      <c r="B6" s="7" t="s">
        <v>116</v>
      </c>
      <c r="C6" s="7" t="s">
        <v>117</v>
      </c>
    </row>
    <row r="8" spans="1:3" ht="39.75" customHeight="1" x14ac:dyDescent="0.3">
      <c r="A8" s="1" t="s">
        <v>118</v>
      </c>
      <c r="B8" s="1"/>
      <c r="C8" s="1"/>
    </row>
  </sheetData>
  <mergeCells count="2">
    <mergeCell ref="A1:C1"/>
    <mergeCell ref="A8:C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 Register</vt:lpstr>
      <vt:lpstr>Rating Scales</vt:lpstr>
      <vt:lpstr>Highest Risks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Hlungwane Benny</cp:lastModifiedBy>
  <cp:revision>0</cp:revision>
  <dcterms:created xsi:type="dcterms:W3CDTF">2026-08-26T09:43:07Z</dcterms:created>
  <dcterms:modified xsi:type="dcterms:W3CDTF">2026-08-26T09:46:27Z</dcterms:modified>
  <dc:language>en-US</dc:language>
</cp:coreProperties>
</file>